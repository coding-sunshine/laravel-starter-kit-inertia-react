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<sst xmlns="http://schemas.openxmlformats.org/spreadsheetml/2006/main" count="4" uniqueCount="4">
  <si>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Month</t>
  </si>
  <si>
    <t xml:space="preserve">Total Coal</t>
  </si>
  <si>
    <t xml:space="preserve">Total OB        ( Cum )       Quarry-1</t>
  </si>
  <si>
    <t xml:space="preserve">Total OB        ( Cum)         Quarry-2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</si>
</sst>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m/yy"/>
    <numFmt numFmtId="166" formatCode="0"/>
    <numFmt numFmtId="167" formatCode="#,##0"/>
    <numFmt numFmtId="168" formatCode="0.000"/>
    <numFmt numFmtId="169" formatCode="dd/mm/yy"/>
    <numFmt numFmtId="170" formatCode="0.00"/>
    <numFmt numFmtId="171" formatCode="0.00;[RED]0.00"/>
    <numFmt numFmtId="172" formatCode="#,##0.00"/>
    <numFmt numFmtId="173" formatCode="0.0000;[RED]0.0000"/>
    <numFmt numFmtId="174" formatCode="0.000;[RED]0.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name val="Calibri"/>
      <family val="2"/>
      <charset val="1"/>
    </font>
    <font>
      <sz val="14"/>
      <color theme="1"/>
      <name val="Calibri"/>
      <family val="2"/>
    </font>
    <font>
      <b val="true"/>
      <sz val="1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3" colorId="64" zoomScale="79" zoomScaleNormal="79" zoomScalePageLayoutView="100" workbookViewId="0">
      <selection pane="topLeft" activeCell="G28" activeCellId="0" sqref="G2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6.77"/>
    <col collapsed="false" customWidth="true" hidden="false" outlineLevel="0" max="3" min="3" style="1" width="17.43"/>
    <col collapsed="false" customWidth="true" hidden="false" outlineLevel="0" max="4" min="4" style="1" width="21.12"/>
  </cols>
  <sheetData>
    <row r="1" customFormat="false" ht="28.3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</row>
    <row r="2" customFormat="false" ht="17.35" hidden="false" customHeight="false" outlineLevel="0" collapsed="false">
      <c r="A2" s="5" t="n">
        <v>43466</v>
      </c>
      <c r="B2" s="6" t="n">
        <v>678880</v>
      </c>
      <c r="C2" s="7"/>
      <c r="D2" s="7"/>
    </row>
    <row r="3" customFormat="false" ht="17.35" hidden="false" customHeight="false" outlineLevel="0" collapsed="false">
      <c r="A3" s="5" t="n">
        <v>43497</v>
      </c>
      <c r="B3" s="8" t="n">
        <v>0</v>
      </c>
      <c r="C3" s="7"/>
      <c r="D3" s="7"/>
    </row>
    <row r="4" customFormat="false" ht="17.35" hidden="false" customHeight="false" outlineLevel="0" collapsed="false">
      <c r="A4" s="5" t="n">
        <v>43525</v>
      </c>
      <c r="B4" s="8" t="n">
        <v>0</v>
      </c>
      <c r="C4" s="7"/>
      <c r="D4" s="7"/>
    </row>
    <row r="5" customFormat="false" ht="17.35" hidden="false" customHeight="false" outlineLevel="0" collapsed="false">
      <c r="A5" s="5" t="n">
        <v>43556</v>
      </c>
      <c r="B5" s="6" t="n">
        <v>602797.11</v>
      </c>
      <c r="C5" s="7"/>
      <c r="D5" s="7"/>
    </row>
    <row r="6" customFormat="false" ht="17.35" hidden="false" customHeight="false" outlineLevel="0" collapsed="false">
      <c r="A6" s="5" t="n">
        <v>43586</v>
      </c>
      <c r="B6" s="6" t="n">
        <v>679355.79</v>
      </c>
      <c r="C6" s="7"/>
      <c r="D6" s="7"/>
    </row>
    <row r="7" customFormat="false" ht="17.35" hidden="false" customHeight="false" outlineLevel="0" collapsed="false">
      <c r="A7" s="5" t="n">
        <v>43617</v>
      </c>
      <c r="B7" s="6" t="n">
        <v>531856.55</v>
      </c>
      <c r="C7" s="7"/>
      <c r="D7" s="7"/>
    </row>
    <row r="8" customFormat="false" ht="17.35" hidden="false" customHeight="false" outlineLevel="0" collapsed="false">
      <c r="A8" s="9" t="n">
        <v>43647</v>
      </c>
      <c r="B8" s="10" t="n">
        <v>207292</v>
      </c>
      <c r="C8" s="11"/>
      <c r="D8" s="11"/>
    </row>
    <row r="9" customFormat="false" ht="17.35" hidden="false" customHeight="false" outlineLevel="0" collapsed="false">
      <c r="A9" s="5" t="n">
        <v>43678</v>
      </c>
      <c r="B9" s="6" t="n">
        <v>0</v>
      </c>
      <c r="C9" s="7"/>
      <c r="D9" s="7"/>
    </row>
    <row r="10" customFormat="false" ht="17.35" hidden="false" customHeight="false" outlineLevel="0" collapsed="false">
      <c r="A10" s="5" t="n">
        <v>43709</v>
      </c>
      <c r="B10" s="6" t="n">
        <v>0</v>
      </c>
      <c r="C10" s="7"/>
      <c r="D10" s="7"/>
    </row>
    <row r="11" customFormat="false" ht="17.35" hidden="false" customHeight="false" outlineLevel="0" collapsed="false">
      <c r="A11" s="5" t="n">
        <v>43739</v>
      </c>
      <c r="B11" s="6" t="n">
        <v>24177</v>
      </c>
      <c r="C11" s="7"/>
      <c r="D11" s="7"/>
    </row>
    <row r="12" customFormat="false" ht="17.35" hidden="false" customHeight="false" outlineLevel="0" collapsed="false">
      <c r="A12" s="5" t="n">
        <v>43770</v>
      </c>
      <c r="B12" s="6" t="n">
        <v>33502</v>
      </c>
      <c r="C12" s="7"/>
      <c r="D12" s="7"/>
    </row>
    <row r="13" customFormat="false" ht="17.35" hidden="false" customHeight="false" outlineLevel="0" collapsed="false">
      <c r="A13" s="5" t="n">
        <v>43800</v>
      </c>
      <c r="B13" s="6" t="n">
        <v>178525</v>
      </c>
      <c r="C13" s="7"/>
      <c r="D13" s="7"/>
    </row>
    <row r="14" customFormat="false" ht="17.35" hidden="false" customHeight="false" outlineLevel="0" collapsed="false">
      <c r="A14" s="5" t="n">
        <v>43831</v>
      </c>
      <c r="B14" s="6" t="n">
        <v>326480</v>
      </c>
      <c r="C14" s="7"/>
      <c r="D14" s="7"/>
    </row>
    <row r="15" customFormat="false" ht="17.35" hidden="false" customHeight="false" outlineLevel="0" collapsed="false">
      <c r="A15" s="5" t="n">
        <v>43862</v>
      </c>
      <c r="B15" s="6" t="n">
        <v>85696</v>
      </c>
      <c r="C15" s="7"/>
      <c r="D15" s="7"/>
    </row>
    <row r="16" customFormat="false" ht="17.35" hidden="false" customHeight="false" outlineLevel="0" collapsed="false">
      <c r="A16" s="5" t="n">
        <v>43891</v>
      </c>
      <c r="B16" s="6" t="n">
        <v>61408</v>
      </c>
      <c r="C16" s="7"/>
      <c r="D16" s="7"/>
    </row>
    <row r="17" customFormat="false" ht="17.35" hidden="false" customHeight="false" outlineLevel="0" collapsed="false">
      <c r="A17" s="5" t="n">
        <v>43922</v>
      </c>
      <c r="B17" s="6" t="n">
        <v>80240</v>
      </c>
      <c r="C17" s="7"/>
      <c r="D17" s="7"/>
    </row>
    <row r="18" customFormat="false" ht="17.35" hidden="false" customHeight="false" outlineLevel="0" collapsed="false">
      <c r="A18" s="5" t="n">
        <v>43952</v>
      </c>
      <c r="B18" s="6" t="n">
        <v>63312</v>
      </c>
      <c r="C18" s="7"/>
      <c r="D18" s="7"/>
    </row>
    <row r="19" customFormat="false" ht="17.35" hidden="false" customHeight="false" outlineLevel="0" collapsed="false">
      <c r="A19" s="5" t="n">
        <v>43983</v>
      </c>
      <c r="B19" s="6" t="n">
        <f aca="false">66484+15008</f>
        <v>81492</v>
      </c>
      <c r="C19" s="7"/>
      <c r="D19" s="7"/>
    </row>
    <row r="20" customFormat="false" ht="17.35" hidden="false" customHeight="false" outlineLevel="0" collapsed="false">
      <c r="A20" s="5" t="n">
        <v>44013</v>
      </c>
      <c r="B20" s="6" t="n">
        <f aca="false">122048+7171</f>
        <v>129219</v>
      </c>
      <c r="C20" s="7"/>
      <c r="D20" s="7"/>
    </row>
    <row r="21" customFormat="false" ht="17.35" hidden="false" customHeight="false" outlineLevel="0" collapsed="false">
      <c r="A21" s="5" t="n">
        <v>44044</v>
      </c>
      <c r="B21" s="6" t="n">
        <f aca="false">129943+7170</f>
        <v>137113</v>
      </c>
      <c r="C21" s="7"/>
      <c r="D21" s="7"/>
    </row>
    <row r="22" customFormat="false" ht="17.35" hidden="false" customHeight="false" outlineLevel="0" collapsed="false">
      <c r="A22" s="5" t="n">
        <v>44075</v>
      </c>
      <c r="B22" s="12" t="n">
        <f aca="false">135055+7171</f>
        <v>142226</v>
      </c>
      <c r="C22" s="7"/>
      <c r="D22" s="7"/>
    </row>
    <row r="23" customFormat="false" ht="17.35" hidden="false" customHeight="false" outlineLevel="0" collapsed="false">
      <c r="A23" s="5" t="n">
        <v>44105</v>
      </c>
      <c r="B23" s="6" t="n">
        <v>212787</v>
      </c>
      <c r="C23" s="7"/>
      <c r="D23" s="7"/>
    </row>
    <row r="24" customFormat="false" ht="17.35" hidden="false" customHeight="false" outlineLevel="0" collapsed="false">
      <c r="A24" s="5" t="n">
        <v>44136</v>
      </c>
      <c r="B24" s="6" t="n">
        <v>318142</v>
      </c>
      <c r="C24" s="7"/>
      <c r="D24" s="7"/>
    </row>
    <row r="25" customFormat="false" ht="17.35" hidden="false" customHeight="false" outlineLevel="0" collapsed="false">
      <c r="A25" s="5" t="n">
        <v>44166</v>
      </c>
      <c r="B25" s="6" t="n">
        <v>408400</v>
      </c>
      <c r="C25" s="7"/>
      <c r="D25" s="13"/>
    </row>
    <row r="26" customFormat="false" ht="17.35" hidden="false" customHeight="false" outlineLevel="0" collapsed="false">
      <c r="A26" s="5" t="n">
        <v>44197</v>
      </c>
      <c r="B26" s="6" t="n">
        <v>413008</v>
      </c>
      <c r="C26" s="7"/>
      <c r="D26" s="13"/>
    </row>
    <row r="27" customFormat="false" ht="17.35" hidden="false" customHeight="false" outlineLevel="0" collapsed="false">
      <c r="A27" s="5" t="n">
        <v>44228</v>
      </c>
      <c r="B27" s="6" t="n">
        <v>392080</v>
      </c>
      <c r="C27" s="7"/>
      <c r="D27" s="13"/>
    </row>
    <row r="28" customFormat="false" ht="17.35" hidden="false" customHeight="false" outlineLevel="0" collapsed="false">
      <c r="A28" s="5" t="n">
        <v>44256</v>
      </c>
      <c r="B28" s="6" t="n">
        <v>510172</v>
      </c>
      <c r="C28" s="7"/>
      <c r="D28" s="13"/>
    </row>
    <row r="29" customFormat="false" ht="17.35" hidden="false" customHeight="false" outlineLevel="0" collapsed="false">
      <c r="A29" s="14" t="n">
        <v>44287</v>
      </c>
      <c r="B29" s="15" t="n">
        <v>563520</v>
      </c>
      <c r="C29" s="7"/>
      <c r="D29" s="13"/>
    </row>
    <row r="30" customFormat="false" ht="17.35" hidden="false" customHeight="false" outlineLevel="0" collapsed="false">
      <c r="A30" s="5" t="n">
        <v>44317</v>
      </c>
      <c r="B30" s="15" t="n">
        <v>500512</v>
      </c>
      <c r="C30" s="7"/>
      <c r="D30" s="13"/>
    </row>
    <row r="31" customFormat="false" ht="17.35" hidden="false" customHeight="false" outlineLevel="0" collapsed="false">
      <c r="A31" s="5" t="n">
        <v>44348</v>
      </c>
      <c r="B31" s="15" t="n">
        <v>523999</v>
      </c>
      <c r="C31" s="7"/>
      <c r="D31" s="13"/>
    </row>
    <row r="32" customFormat="false" ht="17.35" hidden="false" customHeight="false" outlineLevel="0" collapsed="false">
      <c r="A32" s="5" t="n">
        <v>44378</v>
      </c>
      <c r="B32" s="15" t="n">
        <v>820773</v>
      </c>
      <c r="C32" s="7"/>
      <c r="D32" s="13"/>
    </row>
    <row r="33" customFormat="false" ht="17.35" hidden="false" customHeight="false" outlineLevel="0" collapsed="false">
      <c r="A33" s="5" t="n">
        <v>44409</v>
      </c>
      <c r="B33" s="15" t="n">
        <v>721359</v>
      </c>
      <c r="C33" s="7"/>
      <c r="D33" s="13"/>
    </row>
    <row r="34" customFormat="false" ht="17.35" hidden="false" customHeight="false" outlineLevel="0" collapsed="false">
      <c r="A34" s="5" t="n">
        <v>44440</v>
      </c>
      <c r="B34" s="15" t="n">
        <v>781694</v>
      </c>
      <c r="C34" s="7"/>
      <c r="D34" s="13"/>
    </row>
    <row r="35" customFormat="false" ht="17.35" hidden="false" customHeight="false" outlineLevel="0" collapsed="false">
      <c r="A35" s="5" t="n">
        <v>44470</v>
      </c>
      <c r="B35" s="15" t="n">
        <v>1066821</v>
      </c>
      <c r="C35" s="7"/>
      <c r="D35" s="13"/>
    </row>
    <row r="36" customFormat="false" ht="17.35" hidden="false" customHeight="false" outlineLevel="0" collapsed="false">
      <c r="A36" s="5" t="n">
        <v>44501</v>
      </c>
      <c r="B36" s="15" t="n">
        <v>1089375</v>
      </c>
      <c r="C36" s="7"/>
      <c r="D36" s="13"/>
    </row>
    <row r="37" customFormat="false" ht="17.35" hidden="false" customHeight="false" outlineLevel="0" collapsed="false">
      <c r="A37" s="5" t="n">
        <v>44531</v>
      </c>
      <c r="B37" s="15" t="n">
        <v>951005</v>
      </c>
      <c r="C37" s="7"/>
      <c r="D37" s="13"/>
    </row>
    <row r="38" customFormat="false" ht="17.35" hidden="false" customHeight="false" outlineLevel="0" collapsed="false">
      <c r="A38" s="5" t="n">
        <v>44562</v>
      </c>
      <c r="B38" s="15" t="n">
        <v>1030550</v>
      </c>
      <c r="C38" s="7"/>
      <c r="D38" s="16"/>
    </row>
    <row r="39" customFormat="false" ht="17.35" hidden="false" customHeight="false" outlineLevel="0" collapsed="false">
      <c r="A39" s="5" t="n">
        <v>44593</v>
      </c>
      <c r="B39" s="15" t="n">
        <v>1137300</v>
      </c>
      <c r="C39" s="7"/>
      <c r="D39" s="7"/>
    </row>
    <row r="40" customFormat="false" ht="17.35" hidden="false" customHeight="false" outlineLevel="0" collapsed="false">
      <c r="A40" s="17" t="n">
        <v>44621</v>
      </c>
      <c r="B40" s="18" t="n">
        <v>356539</v>
      </c>
      <c r="C40" s="7"/>
      <c r="D40" s="7"/>
    </row>
    <row r="41" customFormat="false" ht="17.35" hidden="false" customHeight="false" outlineLevel="0" collapsed="false">
      <c r="A41" s="19" t="n">
        <v>44652</v>
      </c>
      <c r="B41" s="18" t="n">
        <v>1255375</v>
      </c>
      <c r="C41" s="18" t="n">
        <v>1255375</v>
      </c>
      <c r="D41" s="20"/>
    </row>
    <row r="42" customFormat="false" ht="17.35" hidden="false" customHeight="false" outlineLevel="0" collapsed="false">
      <c r="A42" s="19" t="n">
        <v>44682</v>
      </c>
      <c r="B42" s="18" t="n">
        <v>1260325</v>
      </c>
      <c r="C42" s="18" t="n">
        <v>1260325</v>
      </c>
      <c r="D42" s="7"/>
    </row>
    <row r="43" customFormat="false" ht="17.35" hidden="false" customHeight="false" outlineLevel="0" collapsed="false">
      <c r="A43" s="19" t="n">
        <v>44713</v>
      </c>
      <c r="B43" s="18" t="n">
        <v>1197573</v>
      </c>
      <c r="C43" s="18" t="n">
        <v>1197573</v>
      </c>
      <c r="D43" s="21"/>
    </row>
    <row r="44" customFormat="false" ht="17.35" hidden="false" customHeight="false" outlineLevel="0" collapsed="false">
      <c r="A44" s="19" t="n">
        <v>44743</v>
      </c>
      <c r="B44" s="18" t="n">
        <v>1193575</v>
      </c>
      <c r="C44" s="18" t="n">
        <v>1193575</v>
      </c>
      <c r="D44" s="21"/>
    </row>
    <row r="45" customFormat="false" ht="17.35" hidden="false" customHeight="false" outlineLevel="0" collapsed="false">
      <c r="A45" s="19" t="n">
        <v>44774</v>
      </c>
      <c r="B45" s="18" t="n">
        <v>1272650</v>
      </c>
      <c r="C45" s="18" t="n">
        <v>1272650</v>
      </c>
      <c r="D45" s="21"/>
    </row>
    <row r="46" customFormat="false" ht="17.35" hidden="false" customHeight="false" outlineLevel="0" collapsed="false">
      <c r="A46" s="19" t="n">
        <v>44805</v>
      </c>
      <c r="B46" s="18" t="n">
        <v>1140896</v>
      </c>
      <c r="C46" s="18" t="n">
        <v>1140896</v>
      </c>
      <c r="D46" s="21"/>
    </row>
    <row r="47" customFormat="false" ht="17.35" hidden="false" customHeight="false" outlineLevel="0" collapsed="false">
      <c r="A47" s="19" t="n">
        <v>44835</v>
      </c>
      <c r="B47" s="18" t="n">
        <v>1223025</v>
      </c>
      <c r="C47" s="18" t="n">
        <v>1223025</v>
      </c>
      <c r="D47" s="21"/>
    </row>
    <row r="48" customFormat="false" ht="17.35" hidden="false" customHeight="false" outlineLevel="0" collapsed="false">
      <c r="A48" s="19" t="n">
        <v>44866</v>
      </c>
      <c r="B48" s="18" t="n">
        <v>1299950</v>
      </c>
      <c r="C48" s="18" t="n">
        <f aca="false">1299950-151125</f>
        <v>1148825</v>
      </c>
      <c r="D48" s="21" t="n">
        <f aca="false">151125</f>
        <v>151125</v>
      </c>
    </row>
    <row r="49" customFormat="false" ht="17.35" hidden="false" customHeight="false" outlineLevel="0" collapsed="false">
      <c r="A49" s="19" t="n">
        <v>44896</v>
      </c>
      <c r="B49" s="22" t="n">
        <v>1813179</v>
      </c>
      <c r="C49" s="22" t="n">
        <v>678336</v>
      </c>
      <c r="D49" s="23" t="n">
        <v>1134842</v>
      </c>
    </row>
    <row r="50" customFormat="false" ht="17.35" hidden="false" customHeight="false" outlineLevel="0" collapsed="false">
      <c r="A50" s="19" t="n">
        <v>44927</v>
      </c>
      <c r="B50" s="18" t="n">
        <f aca="false">C50+D50</f>
        <v>2402850</v>
      </c>
      <c r="C50" s="18" t="n">
        <v>1153325</v>
      </c>
      <c r="D50" s="21" t="n">
        <v>1249525</v>
      </c>
    </row>
    <row r="51" customFormat="false" ht="17.35" hidden="false" customHeight="false" outlineLevel="0" collapsed="false">
      <c r="A51" s="19" t="n">
        <v>44958</v>
      </c>
      <c r="B51" s="18" t="n">
        <f aca="false">C51+D51</f>
        <v>2222100</v>
      </c>
      <c r="C51" s="18" t="n">
        <v>1602250</v>
      </c>
      <c r="D51" s="21" t="n">
        <v>619850</v>
      </c>
    </row>
    <row r="52" customFormat="false" ht="17.35" hidden="false" customHeight="false" outlineLevel="0" collapsed="false">
      <c r="A52" s="19" t="n">
        <v>44986</v>
      </c>
      <c r="B52" s="18" t="n">
        <f aca="false">D52+C52</f>
        <v>2261046</v>
      </c>
      <c r="C52" s="18" t="n">
        <v>1924347</v>
      </c>
      <c r="D52" s="21" t="n">
        <v>336699</v>
      </c>
    </row>
    <row r="53" customFormat="false" ht="17.35" hidden="false" customHeight="false" outlineLevel="0" collapsed="false">
      <c r="A53" s="19" t="n">
        <v>45017</v>
      </c>
      <c r="B53" s="24" t="n">
        <v>1398950</v>
      </c>
      <c r="C53" s="24" t="n">
        <v>0</v>
      </c>
      <c r="D53" s="24" t="n">
        <v>1398950</v>
      </c>
    </row>
    <row r="54" customFormat="false" ht="17.35" hidden="false" customHeight="false" outlineLevel="0" collapsed="false">
      <c r="A54" s="19" t="n">
        <v>45047</v>
      </c>
      <c r="B54" s="24" t="n">
        <v>1249025</v>
      </c>
      <c r="C54" s="21" t="n">
        <v>25100</v>
      </c>
      <c r="D54" s="21" t="n">
        <v>1223925</v>
      </c>
    </row>
    <row r="55" customFormat="false" ht="17.35" hidden="false" customHeight="false" outlineLevel="0" collapsed="false">
      <c r="A55" s="19" t="n">
        <v>45078</v>
      </c>
      <c r="B55" s="24" t="n">
        <v>992532</v>
      </c>
      <c r="C55" s="21" t="n">
        <v>0</v>
      </c>
      <c r="D55" s="21" t="n">
        <v>992532</v>
      </c>
    </row>
    <row r="56" customFormat="false" ht="17.35" hidden="false" customHeight="false" outlineLevel="0" collapsed="false">
      <c r="A56" s="19" t="n">
        <v>45108</v>
      </c>
      <c r="B56" s="24" t="n">
        <v>1168300</v>
      </c>
      <c r="C56" s="21" t="n">
        <v>0</v>
      </c>
      <c r="D56" s="21" t="n">
        <v>1168300</v>
      </c>
    </row>
    <row r="57" customFormat="false" ht="17.35" hidden="false" customHeight="false" outlineLevel="0" collapsed="false">
      <c r="A57" s="19" t="n">
        <v>45139</v>
      </c>
      <c r="B57" s="24" t="n">
        <v>1086075</v>
      </c>
      <c r="C57" s="21" t="n">
        <v>0</v>
      </c>
      <c r="D57" s="21" t="n">
        <v>1086075</v>
      </c>
    </row>
    <row r="58" customFormat="false" ht="17.35" hidden="false" customHeight="false" outlineLevel="0" collapsed="false">
      <c r="A58" s="19" t="n">
        <v>45170</v>
      </c>
      <c r="B58" s="24" t="n">
        <v>2029874</v>
      </c>
      <c r="C58" s="21" t="n">
        <v>0</v>
      </c>
      <c r="D58" s="21" t="n">
        <v>2029874</v>
      </c>
    </row>
    <row r="59" customFormat="false" ht="17.35" hidden="false" customHeight="false" outlineLevel="0" collapsed="false">
      <c r="A59" s="19" t="n">
        <v>45200</v>
      </c>
      <c r="B59" s="24" t="n">
        <v>2382575</v>
      </c>
      <c r="C59" s="21" t="n">
        <v>259250</v>
      </c>
      <c r="D59" s="21" t="n">
        <v>2123325</v>
      </c>
    </row>
    <row r="60" customFormat="false" ht="17.35" hidden="false" customHeight="false" outlineLevel="0" collapsed="false">
      <c r="A60" s="19" t="n">
        <v>45231</v>
      </c>
      <c r="B60" s="24" t="n">
        <v>3279200</v>
      </c>
      <c r="C60" s="21" t="n">
        <v>1878775</v>
      </c>
      <c r="D60" s="21" t="n">
        <v>1400425</v>
      </c>
    </row>
    <row r="61" customFormat="false" ht="17.35" hidden="false" customHeight="false" outlineLevel="0" collapsed="false">
      <c r="A61" s="19" t="n">
        <v>45261</v>
      </c>
      <c r="B61" s="24" t="n">
        <v>3268613</v>
      </c>
      <c r="C61" s="21" t="n">
        <v>3263571</v>
      </c>
      <c r="D61" s="21" t="n">
        <v>5042</v>
      </c>
    </row>
    <row r="62" customFormat="false" ht="17.35" hidden="false" customHeight="false" outlineLevel="0" collapsed="false">
      <c r="A62" s="19" t="n">
        <v>45292</v>
      </c>
      <c r="B62" s="24" t="n">
        <v>2373200</v>
      </c>
      <c r="C62" s="21" t="n">
        <v>2373200</v>
      </c>
      <c r="D62" s="21" t="n">
        <v>0</v>
      </c>
    </row>
    <row r="63" customFormat="false" ht="17.35" hidden="false" customHeight="false" outlineLevel="0" collapsed="false">
      <c r="A63" s="19" t="n">
        <v>45323</v>
      </c>
      <c r="B63" s="24" t="n">
        <v>2069475</v>
      </c>
      <c r="C63" s="21" t="n">
        <v>2069475</v>
      </c>
      <c r="D63" s="21" t="n">
        <v>0</v>
      </c>
    </row>
    <row r="64" customFormat="false" ht="17.35" hidden="false" customHeight="false" outlineLevel="0" collapsed="false">
      <c r="A64" s="19" t="n">
        <v>45352</v>
      </c>
      <c r="B64" s="24" t="n">
        <v>1753872</v>
      </c>
      <c r="C64" s="21" t="n">
        <v>1753872</v>
      </c>
      <c r="D64" s="21" t="n">
        <v>0</v>
      </c>
    </row>
    <row r="65" customFormat="false" ht="17.35" hidden="false" customHeight="false" outlineLevel="0" collapsed="false">
      <c r="A65" s="25" t="n">
        <v>45383</v>
      </c>
      <c r="B65" s="23" t="n">
        <f aca="false">C65</f>
        <v>3053100</v>
      </c>
      <c r="C65" s="23" t="n">
        <v>3053100</v>
      </c>
      <c r="D65" s="23" t="n">
        <v>0</v>
      </c>
    </row>
    <row r="66" customFormat="false" ht="17.35" hidden="false" customHeight="false" outlineLevel="0" collapsed="false">
      <c r="A66" s="26" t="n">
        <v>45413</v>
      </c>
      <c r="B66" s="23" t="n">
        <f aca="false">C66+D66</f>
        <v>2938325</v>
      </c>
      <c r="C66" s="23" t="n">
        <v>2938325</v>
      </c>
      <c r="D66" s="23" t="n">
        <v>0</v>
      </c>
    </row>
    <row r="67" customFormat="false" ht="17.35" hidden="false" customHeight="false" outlineLevel="0" collapsed="false">
      <c r="A67" s="25" t="n">
        <v>45444</v>
      </c>
      <c r="B67" s="23" t="n">
        <f aca="false">C67+D67</f>
        <v>2853144</v>
      </c>
      <c r="C67" s="23" t="n">
        <v>2853144</v>
      </c>
      <c r="D67" s="23" t="n">
        <v>0</v>
      </c>
    </row>
    <row r="68" customFormat="false" ht="17.35" hidden="false" customHeight="false" outlineLevel="0" collapsed="false">
      <c r="A68" s="25" t="n">
        <v>45474</v>
      </c>
      <c r="B68" s="23" t="n">
        <f aca="false">C68+D68</f>
        <v>2488200</v>
      </c>
      <c r="C68" s="21" t="n">
        <v>2488200</v>
      </c>
      <c r="D68" s="27" t="n">
        <v>0</v>
      </c>
    </row>
    <row r="69" customFormat="false" ht="17.35" hidden="false" customHeight="false" outlineLevel="0" collapsed="false">
      <c r="A69" s="25" t="n">
        <v>45505</v>
      </c>
      <c r="B69" s="21" t="n">
        <f aca="false">C69+D69</f>
        <v>2440475</v>
      </c>
      <c r="C69" s="21" t="n">
        <v>2440475</v>
      </c>
      <c r="D69" s="21" t="n">
        <v>0</v>
      </c>
    </row>
    <row r="70" customFormat="false" ht="17.35" hidden="false" customHeight="false" outlineLevel="0" collapsed="false">
      <c r="A70" s="25" t="n">
        <v>45536</v>
      </c>
      <c r="B70" s="23" t="n">
        <f aca="false">C70+D70</f>
        <v>2339138</v>
      </c>
      <c r="C70" s="23" t="n">
        <v>2339138</v>
      </c>
      <c r="D70" s="23" t="n">
        <v>0</v>
      </c>
    </row>
    <row r="71" customFormat="false" ht="17.35" hidden="false" customHeight="false" outlineLevel="0" collapsed="false">
      <c r="A71" s="25" t="n">
        <v>45566</v>
      </c>
      <c r="B71" s="21" t="n">
        <f aca="false">C71+D71</f>
        <v>2657849</v>
      </c>
      <c r="C71" s="21" t="n">
        <v>2657849</v>
      </c>
      <c r="D71" s="21" t="n">
        <v>0</v>
      </c>
    </row>
    <row r="72" customFormat="false" ht="17.35" hidden="false" customHeight="false" outlineLevel="0" collapsed="false">
      <c r="A72" s="25" t="n">
        <v>45597</v>
      </c>
      <c r="B72" s="21" t="n">
        <f aca="false">C72+D72</f>
        <v>3578565</v>
      </c>
      <c r="C72" s="21" t="n">
        <v>3578565</v>
      </c>
      <c r="D72" s="21" t="n">
        <v>0</v>
      </c>
    </row>
    <row r="73" customFormat="false" ht="17.35" hidden="false" customHeight="false" outlineLevel="0" collapsed="false">
      <c r="A73" s="25" t="n">
        <v>45627</v>
      </c>
      <c r="B73" s="21" t="n">
        <f aca="false">C73+D73</f>
        <v>3710251</v>
      </c>
      <c r="C73" s="21" t="n">
        <v>3710251</v>
      </c>
      <c r="D73" s="21" t="n">
        <v>0</v>
      </c>
    </row>
    <row r="74" customFormat="false" ht="17.35" hidden="false" customHeight="false" outlineLevel="0" collapsed="false">
      <c r="A74" s="25" t="n">
        <v>45658</v>
      </c>
      <c r="B74" s="21" t="n">
        <f aca="false">C74+D74</f>
        <v>3173276</v>
      </c>
      <c r="C74" s="21" t="n">
        <v>3173276</v>
      </c>
      <c r="D74" s="21" t="n">
        <v>0</v>
      </c>
    </row>
    <row r="75" customFormat="false" ht="17.35" hidden="false" customHeight="false" outlineLevel="0" collapsed="false">
      <c r="A75" s="25" t="n">
        <v>45689</v>
      </c>
      <c r="B75" s="23" t="n">
        <f aca="false">C75+D75</f>
        <v>3493140</v>
      </c>
      <c r="C75" s="23" t="n">
        <v>3493140</v>
      </c>
      <c r="D75" s="23" t="n">
        <v>0</v>
      </c>
    </row>
    <row r="76" customFormat="false" ht="17.35" hidden="false" customHeight="false" outlineLevel="0" collapsed="false">
      <c r="A76" s="25" t="n">
        <v>45717</v>
      </c>
      <c r="B76" s="21" t="n">
        <f aca="false">C76+D76</f>
        <v>3814484</v>
      </c>
      <c r="C76" s="21" t="n">
        <v>3814484</v>
      </c>
      <c r="D76" s="21" t="n">
        <v>0</v>
      </c>
    </row>
    <row r="77" customFormat="false" ht="17.35" hidden="false" customHeight="false" outlineLevel="0" collapsed="false">
      <c r="A77" s="19" t="n">
        <v>45748</v>
      </c>
      <c r="B77" s="23" t="n">
        <f aca="false">C77</f>
        <v>3667969</v>
      </c>
      <c r="C77" s="23" t="n">
        <v>3667969</v>
      </c>
      <c r="D77" s="28" t="n">
        <v>0</v>
      </c>
    </row>
    <row r="78" customFormat="false" ht="17.35" hidden="false" customHeight="false" outlineLevel="0" collapsed="false">
      <c r="A78" s="19" t="n">
        <v>45778</v>
      </c>
      <c r="B78" s="23" t="n">
        <f aca="false">C78</f>
        <v>3154065</v>
      </c>
      <c r="C78" s="23" t="n">
        <v>3154065</v>
      </c>
      <c r="D78" s="28" t="n">
        <v>0</v>
      </c>
    </row>
    <row r="79" customFormat="false" ht="17.35" hidden="false" customHeight="false" outlineLevel="0" collapsed="false">
      <c r="A79" s="19" t="n">
        <v>45809</v>
      </c>
      <c r="B79" s="23" t="n">
        <f aca="false">C79</f>
        <v>2227092</v>
      </c>
      <c r="C79" s="23" t="n">
        <v>2227092</v>
      </c>
      <c r="D79" s="28" t="n">
        <v>0</v>
      </c>
    </row>
    <row r="80" customFormat="false" ht="17.35" hidden="false" customHeight="false" outlineLevel="0" collapsed="false">
      <c r="A80" s="19" t="n">
        <v>45839</v>
      </c>
      <c r="B80" s="23" t="n">
        <f aca="false">C80</f>
        <v>1210410</v>
      </c>
      <c r="C80" s="23" t="n">
        <v>1210410</v>
      </c>
      <c r="D80" s="28" t="n">
        <v>0</v>
      </c>
    </row>
    <row r="81" customFormat="false" ht="17.35" hidden="false" customHeight="false" outlineLevel="0" collapsed="false">
      <c r="A81" s="19" t="n">
        <v>45870</v>
      </c>
      <c r="B81" s="23" t="n">
        <f aca="false">C81</f>
        <v>1333186</v>
      </c>
      <c r="C81" s="23" t="n">
        <v>1333186</v>
      </c>
      <c r="D81" s="28" t="n">
        <v>0</v>
      </c>
    </row>
    <row r="82" customFormat="false" ht="17.35" hidden="false" customHeight="false" outlineLevel="0" collapsed="false">
      <c r="A82" s="19" t="n">
        <v>45901</v>
      </c>
      <c r="B82" s="23" t="n">
        <f aca="false">C82</f>
        <v>2167829</v>
      </c>
      <c r="C82" s="23" t="n">
        <v>2167829</v>
      </c>
      <c r="D82" s="28" t="n">
        <v>0</v>
      </c>
    </row>
    <row r="83" customFormat="false" ht="17.35" hidden="false" customHeight="false" outlineLevel="0" collapsed="false">
      <c r="A83" s="19" t="n">
        <v>45931</v>
      </c>
      <c r="B83" s="23" t="n">
        <f aca="false">C83</f>
        <v>2304033</v>
      </c>
      <c r="C83" s="23" t="n">
        <v>2304033</v>
      </c>
      <c r="D83" s="28" t="n">
        <v>0</v>
      </c>
    </row>
    <row r="84" customFormat="false" ht="17.35" hidden="false" customHeight="false" outlineLevel="0" collapsed="false">
      <c r="A84" s="19" t="n">
        <v>45962</v>
      </c>
      <c r="B84" s="29" t="n">
        <f aca="false">C84</f>
        <v>3065300</v>
      </c>
      <c r="C84" s="29" t="n">
        <v>3065300</v>
      </c>
      <c r="D84" s="28" t="n">
        <v>0</v>
      </c>
    </row>
    <row r="85" customFormat="false" ht="17.35" hidden="false" customHeight="false" outlineLevel="0" collapsed="false">
      <c r="A85" s="19" t="n">
        <v>45992</v>
      </c>
      <c r="B85" s="23" t="n">
        <f aca="false">C85</f>
        <v>3071600</v>
      </c>
      <c r="C85" s="23" t="n">
        <v>3071600</v>
      </c>
      <c r="D85" s="23" t="n">
        <v>0</v>
      </c>
    </row>
    <row r="86" customFormat="false" ht="17.35" hidden="false" customHeight="false" outlineLevel="0" collapsed="false">
      <c r="A86" s="19" t="n">
        <v>46023</v>
      </c>
      <c r="B86" s="23" t="n">
        <f aca="false">C86</f>
        <v>3911769</v>
      </c>
      <c r="C86" s="29" t="n">
        <v>3911769</v>
      </c>
      <c r="D86" s="29" t="n">
        <v>0</v>
      </c>
    </row>
    <row r="87" customFormat="false" ht="17.35" hidden="false" customHeight="false" outlineLevel="0" collapsed="false">
      <c r="A87" s="19" t="n">
        <v>46054</v>
      </c>
      <c r="B87" s="23" t="n">
        <f aca="false">C87</f>
        <v>2901438</v>
      </c>
      <c r="C87" s="23" t="n">
        <v>2901438</v>
      </c>
      <c r="D87" s="23" t="n">
        <v>0</v>
      </c>
    </row>
    <row r="88" customFormat="false" ht="17.35" hidden="false" customHeight="false" outlineLevel="0" collapsed="false">
      <c r="A88" s="19" t="n">
        <v>46082</v>
      </c>
      <c r="B8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2026-03-27T17:21:34Z</dcterms:created>
  <dc:creator/>
  <dc:description/>
  <dc:language>en-IN</dc:language>
  <cp:lastModifiedBy/>
  <dcterms:modified xsi:type="dcterms:W3CDTF">2026-03-27T19:35:57Z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