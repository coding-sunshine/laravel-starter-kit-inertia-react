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GR\Desktop\"/>
    </mc:Choice>
  </mc:AlternateContent>
  <xr:revisionPtr revIDLastSave="0" documentId="13_ncr:1_{3CF177D3-F07D-463E-9911-90B36BC927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NOV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8" i="1" l="1"/>
  <c r="L168" i="1"/>
  <c r="K168" i="1"/>
  <c r="J168" i="1"/>
  <c r="M167" i="1" l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  <c r="M6" i="1"/>
  <c r="I6" i="1"/>
  <c r="M5" i="1"/>
  <c r="I5" i="1"/>
  <c r="M4" i="1"/>
  <c r="I4" i="1"/>
  <c r="M3" i="1"/>
  <c r="I3" i="1"/>
</calcChain>
</file>

<file path=xl/sharedStrings.xml><?xml version="1.0" encoding="utf-8"?>
<sst xmlns="http://schemas.openxmlformats.org/spreadsheetml/2006/main" count="509" uniqueCount="346">
  <si>
    <t>SL
NO.</t>
  </si>
  <si>
    <t>RAKE
NO.</t>
  </si>
  <si>
    <t>WAGON TYPE</t>
  </si>
  <si>
    <t xml:space="preserve">PLACEMENT TIME </t>
  </si>
  <si>
    <t>LOADING
COMPLETE TIME</t>
  </si>
  <si>
    <t>LOADING
TIME(HRS:MIN)</t>
  </si>
  <si>
    <t>C. C. WT</t>
  </si>
  <si>
    <t>NET
WT</t>
  </si>
  <si>
    <t>DIFFERENCE</t>
  </si>
  <si>
    <t>LOADER NO-11</t>
  </si>
  <si>
    <t>LOADER NO-16</t>
  </si>
  <si>
    <t>LOADER NO-17</t>
  </si>
  <si>
    <t>TOTAL LOADER WT</t>
  </si>
  <si>
    <t>BOBRN</t>
  </si>
  <si>
    <t>11:00/01.11.25</t>
  </si>
  <si>
    <t>13:00/01.11.25</t>
  </si>
  <si>
    <t>BOXN</t>
  </si>
  <si>
    <t>15:20/01.11.25</t>
  </si>
  <si>
    <t>17:30/01.11.25</t>
  </si>
  <si>
    <t>19:50/01.11.25</t>
  </si>
  <si>
    <t>20:50/01.11.25</t>
  </si>
  <si>
    <t>21:30/01.11.25</t>
  </si>
  <si>
    <t>23:50/01.11.25</t>
  </si>
  <si>
    <t>05:00/02.11.25</t>
  </si>
  <si>
    <t>07:30/02.11.25</t>
  </si>
  <si>
    <t>08:35/02.11.25</t>
  </si>
  <si>
    <t>11:20/02.11.25</t>
  </si>
  <si>
    <t>13:00/02.11.25</t>
  </si>
  <si>
    <t>15:15/02.11.25</t>
  </si>
  <si>
    <t>16:15/02.11.25</t>
  </si>
  <si>
    <t>18:30/02.11.25</t>
  </si>
  <si>
    <t>19:50/02.11.25</t>
  </si>
  <si>
    <t>20:50/02.11.25</t>
  </si>
  <si>
    <t>21:30/02.11.25</t>
  </si>
  <si>
    <t>22:30/02.11.25</t>
  </si>
  <si>
    <t>02:30/03.11.25</t>
  </si>
  <si>
    <t>04:20/03.11.25</t>
  </si>
  <si>
    <t>06:00/03.11.25</t>
  </si>
  <si>
    <t>08:25/03.11.25</t>
  </si>
  <si>
    <t>13:40/03.11.25</t>
  </si>
  <si>
    <t>15:35/03.11.25</t>
  </si>
  <si>
    <t>17:20/03.11.25</t>
  </si>
  <si>
    <t>19:20/03.11.25</t>
  </si>
  <si>
    <t>20:30/03.11.25</t>
  </si>
  <si>
    <t>22:00/03.11.25</t>
  </si>
  <si>
    <t>22:50/03.11.25</t>
  </si>
  <si>
    <t>23:50/03.11.25</t>
  </si>
  <si>
    <t>04:35/04.11.25</t>
  </si>
  <si>
    <t>06:40/04.11.25</t>
  </si>
  <si>
    <t>09:35/04.11.25</t>
  </si>
  <si>
    <t>11:30/04.11.25</t>
  </si>
  <si>
    <t>13:20/04.11.25</t>
  </si>
  <si>
    <t>15:30/04.11.25</t>
  </si>
  <si>
    <t>17:00/04.11.25</t>
  </si>
  <si>
    <t>18:50/04.11.25</t>
  </si>
  <si>
    <t>20:30/04.11.25</t>
  </si>
  <si>
    <t>22:00/04.11.25</t>
  </si>
  <si>
    <t>22:50/04.11.25</t>
  </si>
  <si>
    <t>23:50/04.11.25</t>
  </si>
  <si>
    <t>07:10/05.11.25</t>
  </si>
  <si>
    <t>09:40/05.11.25</t>
  </si>
  <si>
    <t>11:50/05.11.25</t>
  </si>
  <si>
    <t>14:20/05.11.25</t>
  </si>
  <si>
    <t>19:10/05.11.25</t>
  </si>
  <si>
    <t>21:10/05.11.25</t>
  </si>
  <si>
    <t>21:50/05.11.25</t>
  </si>
  <si>
    <t>23:50/05.11.25</t>
  </si>
  <si>
    <t>08:30/06.11.25</t>
  </si>
  <si>
    <t>10:20/06.11.25</t>
  </si>
  <si>
    <t>11:45/06.11.25</t>
  </si>
  <si>
    <t>13:40/06.11.25</t>
  </si>
  <si>
    <t>15:00/06.11.25</t>
  </si>
  <si>
    <t>17:00/06.11.25</t>
  </si>
  <si>
    <t>18:00/06.11.25</t>
  </si>
  <si>
    <t>20:00/06.11.25</t>
  </si>
  <si>
    <t>21:30/06.11.25</t>
  </si>
  <si>
    <t>22:30/06.11.25</t>
  </si>
  <si>
    <t>23:00/06.11.25</t>
  </si>
  <si>
    <t>23:50/06.11.25</t>
  </si>
  <si>
    <t>05:40/07.11.25</t>
  </si>
  <si>
    <t>07:40/07.11.25</t>
  </si>
  <si>
    <t>10:00/07.11.25</t>
  </si>
  <si>
    <t>12:00/07.11.25</t>
  </si>
  <si>
    <t>13:10/07.11.25</t>
  </si>
  <si>
    <t>15:00/07.11.25</t>
  </si>
  <si>
    <t>16:00/07.11.25</t>
  </si>
  <si>
    <t>17:45/07.11.25</t>
  </si>
  <si>
    <t>20:00/07.11.25</t>
  </si>
  <si>
    <t>21:30/07.11.25</t>
  </si>
  <si>
    <t>22:30/07.11.25</t>
  </si>
  <si>
    <t>23:50/07.11.25</t>
  </si>
  <si>
    <t>09:20/08.11.25</t>
  </si>
  <si>
    <t>11:20/08.11.25</t>
  </si>
  <si>
    <t>16:30/08.11.25</t>
  </si>
  <si>
    <t>18:30/08.11.25</t>
  </si>
  <si>
    <t>19:20/08.11.25</t>
  </si>
  <si>
    <t>20:20/08.11.25</t>
  </si>
  <si>
    <t>21:00/08.11.25</t>
  </si>
  <si>
    <t>22:20/08.11.25</t>
  </si>
  <si>
    <t>01:55/09.11.25</t>
  </si>
  <si>
    <t>03:40/09.11.25</t>
  </si>
  <si>
    <t>05:25/09.11.25</t>
  </si>
  <si>
    <t>07:20/09.11.25</t>
  </si>
  <si>
    <t>08:45/09.11.25</t>
  </si>
  <si>
    <t>10:40/09.11.25</t>
  </si>
  <si>
    <t>12:40/09.11.25</t>
  </si>
  <si>
    <t>14:35/09.11.25</t>
  </si>
  <si>
    <t>16:35/09.11.25</t>
  </si>
  <si>
    <t>18:20/09.11.25</t>
  </si>
  <si>
    <t>20:00/09.11.25</t>
  </si>
  <si>
    <t>21:40/09.11.25</t>
  </si>
  <si>
    <t>23:00/09.11.25</t>
  </si>
  <si>
    <t>23:50/09.11.25</t>
  </si>
  <si>
    <t>04:05/10.11.25</t>
  </si>
  <si>
    <t>06:20/10.11.25</t>
  </si>
  <si>
    <t>08:00/10.11.25</t>
  </si>
  <si>
    <t>09:50/10.11.25</t>
  </si>
  <si>
    <t>13:00/10.11.25</t>
  </si>
  <si>
    <t>14:45/10.11.25</t>
  </si>
  <si>
    <t>15:50/10.11.25</t>
  </si>
  <si>
    <t>17:40/10.11.25</t>
  </si>
  <si>
    <t>19:00/10.11.25</t>
  </si>
  <si>
    <t>20:20/10.11.25</t>
  </si>
  <si>
    <t>21:20/10.11.25</t>
  </si>
  <si>
    <t>22:30/10.11.25</t>
  </si>
  <si>
    <t>23:00/10.11.25</t>
  </si>
  <si>
    <t>23:55/10.11.25</t>
  </si>
  <si>
    <t>06:00/11.11.25</t>
  </si>
  <si>
    <t>08:00/11.11.25</t>
  </si>
  <si>
    <t>10:10/11.11.25</t>
  </si>
  <si>
    <t>12:20/11.11.25</t>
  </si>
  <si>
    <t>15:15/11.11.25</t>
  </si>
  <si>
    <t>16:50/11.11.25</t>
  </si>
  <si>
    <t>19:00/11.11.25</t>
  </si>
  <si>
    <t>20:20/11.11.25</t>
  </si>
  <si>
    <t>21:10/11.11.25</t>
  </si>
  <si>
    <t>22:30/11.11.25</t>
  </si>
  <si>
    <t>02:40/12.11.25</t>
  </si>
  <si>
    <t>04:35/12.11.25</t>
  </si>
  <si>
    <t>05:55/12.11.25</t>
  </si>
  <si>
    <t>07:50/12.11.25</t>
  </si>
  <si>
    <t>09:35/12.11.25</t>
  </si>
  <si>
    <t>11:10/12.11.25</t>
  </si>
  <si>
    <t>12:40/12.11.25</t>
  </si>
  <si>
    <t>14:50/12.11.25</t>
  </si>
  <si>
    <t>16:30/12.11.25</t>
  </si>
  <si>
    <t>18:30/12.11.25</t>
  </si>
  <si>
    <t>19:30/12.11.25</t>
  </si>
  <si>
    <t>20:50/12.11.25</t>
  </si>
  <si>
    <t>22:00/12.11.25</t>
  </si>
  <si>
    <t>23:50/12.11.25</t>
  </si>
  <si>
    <t>03:25/13.11.25</t>
  </si>
  <si>
    <t>05:40/13.11.25</t>
  </si>
  <si>
    <t>07:00/13.11.25</t>
  </si>
  <si>
    <t>08:50/13.11.25</t>
  </si>
  <si>
    <t>10:30/13.11.25</t>
  </si>
  <si>
    <t>14:00/13.11.25</t>
  </si>
  <si>
    <t>15:15/13.11.25</t>
  </si>
  <si>
    <t>19:00/13.11.25</t>
  </si>
  <si>
    <t>21:00/13.11.25</t>
  </si>
  <si>
    <t>22:30/13.11.25</t>
  </si>
  <si>
    <t>23:00/13.11.25</t>
  </si>
  <si>
    <t>23:50/13.11.25</t>
  </si>
  <si>
    <t>04:40/14.11.25</t>
  </si>
  <si>
    <t>08:00/14.11.25</t>
  </si>
  <si>
    <t>09:15/14.11.25</t>
  </si>
  <si>
    <t>12:15/14.11.25</t>
  </si>
  <si>
    <t>13:40/14.11.25</t>
  </si>
  <si>
    <t>15:40/14.11.25</t>
  </si>
  <si>
    <t>16:55/14.11.25</t>
  </si>
  <si>
    <t>18:50/14.11.25</t>
  </si>
  <si>
    <t>20:00/14.11.25</t>
  </si>
  <si>
    <t>22:30/14.11.25</t>
  </si>
  <si>
    <t>23:00/14.11.25</t>
  </si>
  <si>
    <t>23:50/14.11.25</t>
  </si>
  <si>
    <t>05:45/15.11.25</t>
  </si>
  <si>
    <t>07:30/15.11.25</t>
  </si>
  <si>
    <t>13:15/15.11.25</t>
  </si>
  <si>
    <t>15:10/15.11.25</t>
  </si>
  <si>
    <t>16:20/15.11.25</t>
  </si>
  <si>
    <t>18:10/15.11.25</t>
  </si>
  <si>
    <t>19:30/15.11.25</t>
  </si>
  <si>
    <t>20:30/15.11.25</t>
  </si>
  <si>
    <t>21:00/15.11.25</t>
  </si>
  <si>
    <t>23:00/15.11.25</t>
  </si>
  <si>
    <t>03:00/16.11.25</t>
  </si>
  <si>
    <t>05:00/16.11.25</t>
  </si>
  <si>
    <t>06:10/16.11.25</t>
  </si>
  <si>
    <t>08:10/16.11.25</t>
  </si>
  <si>
    <t>10:00/16.11.25</t>
  </si>
  <si>
    <t>11:50/16.11.25</t>
  </si>
  <si>
    <t>14:50/16.11.25</t>
  </si>
  <si>
    <t>16:50/16.11.25</t>
  </si>
  <si>
    <t>18:00/16.11.25</t>
  </si>
  <si>
    <t>20:00/16.11.25</t>
  </si>
  <si>
    <t>21:00/16.11.25</t>
  </si>
  <si>
    <t>22:00/16.11.25</t>
  </si>
  <si>
    <t>23:00/16.11.25</t>
  </si>
  <si>
    <t>23:50/16.11.25</t>
  </si>
  <si>
    <t>05:00/17.11.25</t>
  </si>
  <si>
    <t>06:55/17.11.25</t>
  </si>
  <si>
    <t>08:45/17.11.25</t>
  </si>
  <si>
    <t>10:45/17.11.25</t>
  </si>
  <si>
    <t>12:10/17.11.25</t>
  </si>
  <si>
    <t>14:00/17.11.25</t>
  </si>
  <si>
    <t>16:40/17.11.25</t>
  </si>
  <si>
    <t>18:40/17.11.25</t>
  </si>
  <si>
    <t>19:50/17.11.25</t>
  </si>
  <si>
    <t>21:40/17.11.25</t>
  </si>
  <si>
    <t>22:30/17.11.25</t>
  </si>
  <si>
    <t>23:50/17.11.25</t>
  </si>
  <si>
    <t>02:40/18.11.25</t>
  </si>
  <si>
    <t>05:20/18.11.25</t>
  </si>
  <si>
    <t>07:30/18.11.25</t>
  </si>
  <si>
    <t>09:30/18.11.25</t>
  </si>
  <si>
    <t>12:10/18.11.25</t>
  </si>
  <si>
    <t>14:10/18.11.25</t>
  </si>
  <si>
    <t>16:30/18.11.25</t>
  </si>
  <si>
    <t>18:30/18.11.25</t>
  </si>
  <si>
    <t>20:30/18.11.25</t>
  </si>
  <si>
    <t>21:30/18.11.25</t>
  </si>
  <si>
    <t>23:00/18.11.25</t>
  </si>
  <si>
    <t>23:50/18.11.25</t>
  </si>
  <si>
    <t>04:40/19.11.25</t>
  </si>
  <si>
    <t>06:50/19.11.25</t>
  </si>
  <si>
    <t>07:45/19.11.25</t>
  </si>
  <si>
    <t>09:45/19.11.25</t>
  </si>
  <si>
    <t>10:50/19.11.25</t>
  </si>
  <si>
    <t>13:40/19.11.25</t>
  </si>
  <si>
    <t>15:20/19.11.25</t>
  </si>
  <si>
    <t>17:20/19.11.25</t>
  </si>
  <si>
    <t>20:00/19.11.25</t>
  </si>
  <si>
    <t>21:30/19.11.25</t>
  </si>
  <si>
    <t>23:00/19.11.25</t>
  </si>
  <si>
    <t>23:50/19.11.25</t>
  </si>
  <si>
    <t>05:25/20.11.25</t>
  </si>
  <si>
    <t>07:35/20.11.25</t>
  </si>
  <si>
    <t>09:25/20.11.25</t>
  </si>
  <si>
    <t>10:50/20.11.25</t>
  </si>
  <si>
    <t>12:35/20.11.25</t>
  </si>
  <si>
    <t>14:40/20.11.25</t>
  </si>
  <si>
    <t>16:25/20.11.25</t>
  </si>
  <si>
    <t>18:15/20.11.25</t>
  </si>
  <si>
    <t>20:20/20.11.25</t>
  </si>
  <si>
    <t>21:30/20.11.25</t>
  </si>
  <si>
    <t>23:00/20.11.25</t>
  </si>
  <si>
    <t>23:50/20.11.25</t>
  </si>
  <si>
    <t>03:25/21.11.25</t>
  </si>
  <si>
    <t>05:40/21.11.25</t>
  </si>
  <si>
    <t>06:55/21.11.25</t>
  </si>
  <si>
    <t>08:55/21.11.25</t>
  </si>
  <si>
    <t>12:30/21.11.25</t>
  </si>
  <si>
    <t>14:30/21.11.25</t>
  </si>
  <si>
    <t>16:00/21.11.25</t>
  </si>
  <si>
    <t>18:00/21.11.25</t>
  </si>
  <si>
    <t>19:40/21.11.25</t>
  </si>
  <si>
    <t>21:30/21.11.25</t>
  </si>
  <si>
    <t>22:00/21.11.25</t>
  </si>
  <si>
    <t>23:50/21.11.25</t>
  </si>
  <si>
    <t>06:05/22.11.25</t>
  </si>
  <si>
    <t>08:05/22.11.25</t>
  </si>
  <si>
    <t>10:20/22.11.25</t>
  </si>
  <si>
    <t>12:20/22.11.25</t>
  </si>
  <si>
    <t>16:20/22.11.25</t>
  </si>
  <si>
    <t>18:20/22.11.25</t>
  </si>
  <si>
    <t>20:00/22.11.25</t>
  </si>
  <si>
    <t>22:00/22.11.25</t>
  </si>
  <si>
    <t>23:00/22.11.25</t>
  </si>
  <si>
    <t>23:50/22.11.25</t>
  </si>
  <si>
    <t>04:30/23.11.25</t>
  </si>
  <si>
    <t>07:30/23.11.25</t>
  </si>
  <si>
    <t>09:00/23.11.25</t>
  </si>
  <si>
    <t>11:10/23.11.25</t>
  </si>
  <si>
    <t>12:30/23.11.25</t>
  </si>
  <si>
    <t>14:40/23.11.25</t>
  </si>
  <si>
    <t>16:10/23.11.25</t>
  </si>
  <si>
    <t>18:00/23.11.25</t>
  </si>
  <si>
    <t>19:50/23.11.25</t>
  </si>
  <si>
    <t>21:50/23.11.25</t>
  </si>
  <si>
    <t>22:40/23.11.25</t>
  </si>
  <si>
    <t>23:50/23.11.25</t>
  </si>
  <si>
    <t>03:20/24.11.25</t>
  </si>
  <si>
    <t>05:35/24.11.25</t>
  </si>
  <si>
    <t>08:05/24.11.25</t>
  </si>
  <si>
    <t>10:20/24.11.25</t>
  </si>
  <si>
    <t>13:20/24.11.25</t>
  </si>
  <si>
    <t>15:10/24.11.25</t>
  </si>
  <si>
    <t>16:20/24.11.25</t>
  </si>
  <si>
    <t>18:20/24.11.25</t>
  </si>
  <si>
    <t>20:20/24.11.25</t>
  </si>
  <si>
    <t>22:00/24.11.25</t>
  </si>
  <si>
    <t>23:00/24.11.25</t>
  </si>
  <si>
    <t>23:50/24.11.25</t>
  </si>
  <si>
    <t>05:40/25.11.25</t>
  </si>
  <si>
    <t>07:50/25.11.25</t>
  </si>
  <si>
    <t>10:30/25.11.25</t>
  </si>
  <si>
    <t>12:40/25.11.25</t>
  </si>
  <si>
    <t>13:45/25.11.25</t>
  </si>
  <si>
    <t>15:40/25.11.25</t>
  </si>
  <si>
    <t>19:10/25.11.25</t>
  </si>
  <si>
    <t>21:10/25.11.25</t>
  </si>
  <si>
    <t>22:35/25.11.25</t>
  </si>
  <si>
    <t>23:50/25.11.25</t>
  </si>
  <si>
    <t>05:25/26.11.25</t>
  </si>
  <si>
    <t>07:20/26.11.25</t>
  </si>
  <si>
    <t>13:20/26.11.25</t>
  </si>
  <si>
    <t>15:20/26.11.25</t>
  </si>
  <si>
    <t>16:40/26.11.25</t>
  </si>
  <si>
    <t>18:40/26.11.25</t>
  </si>
  <si>
    <t>20:30/26.11.25</t>
  </si>
  <si>
    <t>22:00/26.11.25</t>
  </si>
  <si>
    <t>23:00/26.11.25</t>
  </si>
  <si>
    <t>23:50/26.11.25</t>
  </si>
  <si>
    <t>05:10/27.11.25</t>
  </si>
  <si>
    <t>07:10/27.11.25</t>
  </si>
  <si>
    <t>09:20/27.11.25</t>
  </si>
  <si>
    <t>11:10/27.11.25</t>
  </si>
  <si>
    <t>12:35/27.11.25</t>
  </si>
  <si>
    <t>14:30/27.11.25</t>
  </si>
  <si>
    <t>10:10/28.11.25</t>
  </si>
  <si>
    <t>12:10/28.11.25</t>
  </si>
  <si>
    <t>18:20/28.11.25</t>
  </si>
  <si>
    <t>20:20/28.11.25</t>
  </si>
  <si>
    <t>00:45/29.11.25</t>
  </si>
  <si>
    <t>02:40/29.11.25</t>
  </si>
  <si>
    <t>05:20/29.11.25</t>
  </si>
  <si>
    <t>07:40/29.11.25</t>
  </si>
  <si>
    <t>09:30/29.11.25</t>
  </si>
  <si>
    <t>11:30/29.11.25</t>
  </si>
  <si>
    <t>16:50/29.11.25</t>
  </si>
  <si>
    <t>18:40/29.11.25</t>
  </si>
  <si>
    <t>21:00/29.11.25</t>
  </si>
  <si>
    <t>22:10/29.11.25</t>
  </si>
  <si>
    <t>23:00/29.11.25</t>
  </si>
  <si>
    <t>23:50/29.11.25</t>
  </si>
  <si>
    <t>05:40/30.11.25</t>
  </si>
  <si>
    <t>07:40/30.11.25</t>
  </si>
  <si>
    <t>12:35/30.11.25</t>
  </si>
  <si>
    <t>14:35/30.11.25</t>
  </si>
  <si>
    <t>16:00/30.11.25</t>
  </si>
  <si>
    <t>17:40/30.11.25</t>
  </si>
  <si>
    <t>19:00/30.11.25</t>
  </si>
  <si>
    <t>20:30/30.11.25</t>
  </si>
  <si>
    <t>21:30/30.11.25</t>
  </si>
  <si>
    <t>22:30/30.11.25</t>
  </si>
  <si>
    <t>RAKE LOADING DATA DUMKA SIDING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</si>
</sst>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8"/>
  <sheetViews>
    <sheetView tabSelected="1" workbookViewId="0">
      <pane ySplit="2" topLeftCell="A3" activePane="bottomLeft" state="frozen"/>
      <selection pane="bottomLeft" activeCell="K11" sqref="K11"/>
    </sheetView>
  </sheetViews>
  <sheetFormatPr defaultRowHeight="15" x14ac:dyDescent="0.25"/>
  <cols>
    <col min="4" max="5" width="13.7109375" bestFit="1" customWidth="1"/>
    <col min="6" max="6" width="16.28515625" customWidth="1"/>
    <col min="9" max="9" width="13.140625" customWidth="1"/>
    <col min="10" max="11" width="12.7109375" bestFit="1" customWidth="1"/>
    <col min="12" max="13" width="10.140625" bestFit="1" customWidth="1"/>
  </cols>
  <sheetData>
    <row r="1" spans="1:13" ht="28.5" x14ac:dyDescent="0.45">
      <c r="A1" s="17" t="s">
        <v>345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47.2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 x14ac:dyDescent="0.25">
      <c r="A3" s="4">
        <v>1</v>
      </c>
      <c r="B3" s="4">
        <v>1</v>
      </c>
      <c r="C3" s="4" t="s">
        <v>13</v>
      </c>
      <c r="D3" s="5" t="s">
        <v>14</v>
      </c>
      <c r="E3" s="5" t="s">
        <v>15</v>
      </c>
      <c r="F3" s="6">
        <v>8.3333333333333329E-2</v>
      </c>
      <c r="G3" s="7">
        <v>3691</v>
      </c>
      <c r="H3" s="7">
        <v>3480.08</v>
      </c>
      <c r="I3" s="8">
        <f>G3-H3</f>
        <v>210.92000000000007</v>
      </c>
      <c r="J3" s="5">
        <v>1114.3</v>
      </c>
      <c r="K3" s="5">
        <v>1114.49</v>
      </c>
      <c r="L3" s="5">
        <v>1298.96</v>
      </c>
      <c r="M3" s="5">
        <f t="shared" ref="M3:M15" si="0">J3+K3+L3</f>
        <v>3527.75</v>
      </c>
    </row>
    <row r="4" spans="1:13" x14ac:dyDescent="0.25">
      <c r="A4" s="4">
        <v>2</v>
      </c>
      <c r="B4" s="4">
        <v>2</v>
      </c>
      <c r="C4" s="4" t="s">
        <v>16</v>
      </c>
      <c r="D4" s="5" t="s">
        <v>17</v>
      </c>
      <c r="E4" s="5" t="s">
        <v>18</v>
      </c>
      <c r="F4" s="6">
        <v>9.0277777777777776E-2</v>
      </c>
      <c r="G4" s="7">
        <v>4023.9</v>
      </c>
      <c r="H4" s="7">
        <v>3819.4</v>
      </c>
      <c r="I4" s="8">
        <f t="shared" ref="I4:I67" si="1">G4-H4</f>
        <v>204.5</v>
      </c>
      <c r="J4" s="5">
        <v>1380.82</v>
      </c>
      <c r="K4" s="5">
        <v>1244.48</v>
      </c>
      <c r="L4" s="5">
        <v>1172.8</v>
      </c>
      <c r="M4" s="5">
        <f t="shared" si="0"/>
        <v>3798.1000000000004</v>
      </c>
    </row>
    <row r="5" spans="1:13" x14ac:dyDescent="0.25">
      <c r="A5" s="4">
        <v>3</v>
      </c>
      <c r="B5" s="4">
        <v>3</v>
      </c>
      <c r="C5" s="4" t="s">
        <v>16</v>
      </c>
      <c r="D5" s="5" t="s">
        <v>19</v>
      </c>
      <c r="E5" s="5" t="s">
        <v>20</v>
      </c>
      <c r="F5" s="6">
        <v>4.1666666666666664E-2</v>
      </c>
      <c r="G5" s="7">
        <v>4050.2</v>
      </c>
      <c r="H5" s="7">
        <v>3833.28</v>
      </c>
      <c r="I5" s="8">
        <f t="shared" si="1"/>
        <v>216.91999999999962</v>
      </c>
      <c r="J5" s="5">
        <v>657.49</v>
      </c>
      <c r="K5" s="5">
        <v>1585.42</v>
      </c>
      <c r="L5" s="5">
        <v>1580.55</v>
      </c>
      <c r="M5" s="5">
        <f t="shared" si="0"/>
        <v>3823.46</v>
      </c>
    </row>
    <row r="6" spans="1:13" x14ac:dyDescent="0.25">
      <c r="A6" s="4">
        <v>4</v>
      </c>
      <c r="B6" s="4">
        <v>4</v>
      </c>
      <c r="C6" s="4" t="s">
        <v>16</v>
      </c>
      <c r="D6" s="5" t="s">
        <v>21</v>
      </c>
      <c r="E6" s="5" t="s">
        <v>22</v>
      </c>
      <c r="F6" s="6">
        <v>9.7222222222222224E-2</v>
      </c>
      <c r="G6" s="7">
        <v>4018.3</v>
      </c>
      <c r="H6" s="7">
        <v>3720.4</v>
      </c>
      <c r="I6" s="8">
        <f t="shared" si="1"/>
        <v>297.90000000000009</v>
      </c>
      <c r="J6" s="5">
        <v>1164.94</v>
      </c>
      <c r="K6" s="5">
        <v>1299.93</v>
      </c>
      <c r="L6" s="5">
        <v>1288.32</v>
      </c>
      <c r="M6" s="5">
        <f t="shared" si="0"/>
        <v>3753.1899999999996</v>
      </c>
    </row>
    <row r="7" spans="1:13" x14ac:dyDescent="0.25">
      <c r="A7" s="4">
        <v>5</v>
      </c>
      <c r="B7" s="4">
        <v>5</v>
      </c>
      <c r="C7" s="4" t="s">
        <v>13</v>
      </c>
      <c r="D7" s="5" t="s">
        <v>23</v>
      </c>
      <c r="E7" s="4" t="s">
        <v>24</v>
      </c>
      <c r="F7" s="6">
        <v>0.10416666666666667</v>
      </c>
      <c r="G7" s="7">
        <v>3631.6</v>
      </c>
      <c r="H7" s="7">
        <v>3386.38</v>
      </c>
      <c r="I7" s="8">
        <f t="shared" si="1"/>
        <v>245.2199999999998</v>
      </c>
      <c r="J7" s="5">
        <v>1289.05</v>
      </c>
      <c r="K7" s="5">
        <v>984.43</v>
      </c>
      <c r="L7" s="5">
        <v>1163.43</v>
      </c>
      <c r="M7" s="5">
        <f t="shared" si="0"/>
        <v>3436.91</v>
      </c>
    </row>
    <row r="8" spans="1:13" x14ac:dyDescent="0.25">
      <c r="A8" s="4">
        <v>6</v>
      </c>
      <c r="B8" s="4">
        <v>6</v>
      </c>
      <c r="C8" s="4" t="s">
        <v>13</v>
      </c>
      <c r="D8" s="4" t="s">
        <v>25</v>
      </c>
      <c r="E8" s="4" t="s">
        <v>26</v>
      </c>
      <c r="F8" s="6">
        <v>0.11458333333333333</v>
      </c>
      <c r="G8" s="7">
        <v>3761.6</v>
      </c>
      <c r="H8" s="7">
        <v>3516.65</v>
      </c>
      <c r="I8" s="8">
        <f t="shared" si="1"/>
        <v>244.94999999999982</v>
      </c>
      <c r="J8" s="5">
        <v>1417.57</v>
      </c>
      <c r="K8" s="5">
        <v>557.98</v>
      </c>
      <c r="L8" s="5">
        <v>1599.87</v>
      </c>
      <c r="M8" s="5">
        <f t="shared" si="0"/>
        <v>3575.42</v>
      </c>
    </row>
    <row r="9" spans="1:13" x14ac:dyDescent="0.25">
      <c r="A9" s="4">
        <v>7</v>
      </c>
      <c r="B9" s="4">
        <v>7</v>
      </c>
      <c r="C9" s="4" t="s">
        <v>16</v>
      </c>
      <c r="D9" s="4" t="s">
        <v>27</v>
      </c>
      <c r="E9" s="4" t="s">
        <v>28</v>
      </c>
      <c r="F9" s="6">
        <v>9.375E-2</v>
      </c>
      <c r="G9" s="7">
        <v>4023.6</v>
      </c>
      <c r="H9" s="7">
        <v>3892</v>
      </c>
      <c r="I9" s="8">
        <f t="shared" si="1"/>
        <v>131.59999999999991</v>
      </c>
      <c r="J9" s="5">
        <v>1178.26</v>
      </c>
      <c r="K9" s="5">
        <v>1164.32</v>
      </c>
      <c r="L9" s="5">
        <v>1437.99</v>
      </c>
      <c r="M9" s="5">
        <f t="shared" si="0"/>
        <v>3780.5699999999997</v>
      </c>
    </row>
    <row r="10" spans="1:13" x14ac:dyDescent="0.25">
      <c r="A10" s="4">
        <v>8</v>
      </c>
      <c r="B10" s="4">
        <v>8</v>
      </c>
      <c r="C10" s="4" t="s">
        <v>13</v>
      </c>
      <c r="D10" s="4" t="s">
        <v>29</v>
      </c>
      <c r="E10" s="4" t="s">
        <v>30</v>
      </c>
      <c r="F10" s="6">
        <v>9.375E-2</v>
      </c>
      <c r="G10" s="7">
        <v>3693.8</v>
      </c>
      <c r="H10" s="7">
        <v>3566.8</v>
      </c>
      <c r="I10" s="8">
        <f t="shared" si="1"/>
        <v>127</v>
      </c>
      <c r="J10" s="5">
        <v>1238.7</v>
      </c>
      <c r="K10" s="5">
        <v>1053.43</v>
      </c>
      <c r="L10" s="5">
        <v>1236.68</v>
      </c>
      <c r="M10" s="5">
        <f t="shared" si="0"/>
        <v>3528.8100000000004</v>
      </c>
    </row>
    <row r="11" spans="1:13" x14ac:dyDescent="0.25">
      <c r="A11" s="4">
        <v>9</v>
      </c>
      <c r="B11" s="4">
        <v>9</v>
      </c>
      <c r="C11" s="4" t="s">
        <v>16</v>
      </c>
      <c r="D11" s="4" t="s">
        <v>31</v>
      </c>
      <c r="E11" s="4" t="s">
        <v>32</v>
      </c>
      <c r="F11" s="6">
        <v>4.1666666666666664E-2</v>
      </c>
      <c r="G11" s="7">
        <v>4021.44</v>
      </c>
      <c r="H11" s="7">
        <v>3708.48</v>
      </c>
      <c r="I11" s="8">
        <f t="shared" si="1"/>
        <v>312.96000000000004</v>
      </c>
      <c r="J11" s="5">
        <v>1224.49</v>
      </c>
      <c r="K11" s="5">
        <v>1349.27</v>
      </c>
      <c r="L11" s="5">
        <v>1153.97</v>
      </c>
      <c r="M11" s="5">
        <f t="shared" si="0"/>
        <v>3727.7300000000005</v>
      </c>
    </row>
    <row r="12" spans="1:13" x14ac:dyDescent="0.25">
      <c r="A12" s="4">
        <v>10</v>
      </c>
      <c r="B12" s="4">
        <v>10</v>
      </c>
      <c r="C12" s="4" t="s">
        <v>16</v>
      </c>
      <c r="D12" s="4" t="s">
        <v>33</v>
      </c>
      <c r="E12" s="4" t="s">
        <v>34</v>
      </c>
      <c r="F12" s="6">
        <v>4.1666666666666664E-2</v>
      </c>
      <c r="G12" s="7">
        <v>4033.9</v>
      </c>
      <c r="H12" s="7">
        <v>3761.08</v>
      </c>
      <c r="I12" s="8">
        <f t="shared" si="1"/>
        <v>272.82000000000016</v>
      </c>
      <c r="J12" s="5">
        <v>1156.27</v>
      </c>
      <c r="K12" s="5">
        <v>1305.8</v>
      </c>
      <c r="L12" s="5">
        <v>1293.25</v>
      </c>
      <c r="M12" s="5">
        <f t="shared" si="0"/>
        <v>3755.3199999999997</v>
      </c>
    </row>
    <row r="13" spans="1:13" x14ac:dyDescent="0.25">
      <c r="A13" s="4">
        <v>11</v>
      </c>
      <c r="B13" s="4">
        <v>11</v>
      </c>
      <c r="C13" s="4" t="s">
        <v>13</v>
      </c>
      <c r="D13" s="4" t="s">
        <v>35</v>
      </c>
      <c r="E13" s="4" t="s">
        <v>36</v>
      </c>
      <c r="F13" s="6">
        <v>7.6388888888888895E-2</v>
      </c>
      <c r="G13" s="7">
        <v>3696.6</v>
      </c>
      <c r="H13" s="7">
        <v>3449.06</v>
      </c>
      <c r="I13" s="8">
        <f t="shared" si="1"/>
        <v>247.53999999999996</v>
      </c>
      <c r="J13" s="5">
        <v>1107.24</v>
      </c>
      <c r="K13" s="5">
        <v>1290.81</v>
      </c>
      <c r="L13" s="5">
        <v>1113.48</v>
      </c>
      <c r="M13" s="5">
        <f t="shared" si="0"/>
        <v>3511.53</v>
      </c>
    </row>
    <row r="14" spans="1:13" x14ac:dyDescent="0.25">
      <c r="A14" s="4">
        <v>12</v>
      </c>
      <c r="B14" s="4">
        <v>12</v>
      </c>
      <c r="C14" s="4" t="s">
        <v>13</v>
      </c>
      <c r="D14" s="4" t="s">
        <v>37</v>
      </c>
      <c r="E14" s="4" t="s">
        <v>38</v>
      </c>
      <c r="F14" s="6">
        <v>0.10069444444444443</v>
      </c>
      <c r="G14" s="7">
        <v>3770</v>
      </c>
      <c r="H14" s="7">
        <v>3545.82</v>
      </c>
      <c r="I14" s="8">
        <f t="shared" si="1"/>
        <v>224.17999999999984</v>
      </c>
      <c r="J14" s="5">
        <v>1229.3499999999999</v>
      </c>
      <c r="K14" s="5">
        <v>1228.92</v>
      </c>
      <c r="L14" s="5">
        <v>1106.73</v>
      </c>
      <c r="M14" s="5">
        <f t="shared" si="0"/>
        <v>3565</v>
      </c>
    </row>
    <row r="15" spans="1:13" x14ac:dyDescent="0.25">
      <c r="A15" s="4">
        <v>13</v>
      </c>
      <c r="B15" s="4">
        <v>13</v>
      </c>
      <c r="C15" s="4" t="s">
        <v>13</v>
      </c>
      <c r="D15" s="4" t="s">
        <v>39</v>
      </c>
      <c r="E15" s="4" t="s">
        <v>40</v>
      </c>
      <c r="F15" s="6">
        <v>7.9861111111111105E-2</v>
      </c>
      <c r="G15" s="7">
        <v>3835</v>
      </c>
      <c r="H15" s="7">
        <v>3633.61</v>
      </c>
      <c r="I15" s="8">
        <f t="shared" si="1"/>
        <v>201.38999999999987</v>
      </c>
      <c r="J15" s="5">
        <v>1174.7</v>
      </c>
      <c r="K15" s="5">
        <v>1239.24</v>
      </c>
      <c r="L15" s="5">
        <v>1241.68</v>
      </c>
      <c r="M15" s="5">
        <f t="shared" si="0"/>
        <v>3655.62</v>
      </c>
    </row>
    <row r="16" spans="1:13" x14ac:dyDescent="0.25">
      <c r="A16" s="4">
        <v>14</v>
      </c>
      <c r="B16" s="4">
        <v>14</v>
      </c>
      <c r="C16" s="4" t="s">
        <v>16</v>
      </c>
      <c r="D16" s="4" t="s">
        <v>41</v>
      </c>
      <c r="E16" s="4" t="s">
        <v>42</v>
      </c>
      <c r="F16" s="6">
        <v>8.3333333333333329E-2</v>
      </c>
      <c r="G16" s="7">
        <v>4098</v>
      </c>
      <c r="H16" s="7">
        <v>3845.79</v>
      </c>
      <c r="I16" s="8">
        <f t="shared" si="1"/>
        <v>252.21000000000004</v>
      </c>
      <c r="J16" s="5">
        <v>1233.03</v>
      </c>
      <c r="K16" s="5">
        <v>1314.69</v>
      </c>
      <c r="L16" s="5">
        <v>1306.83</v>
      </c>
      <c r="M16" s="5">
        <f t="shared" ref="M16:M79" si="2">J16+K16+L16</f>
        <v>3854.55</v>
      </c>
    </row>
    <row r="17" spans="1:13" x14ac:dyDescent="0.25">
      <c r="A17" s="4">
        <v>15</v>
      </c>
      <c r="B17" s="4">
        <v>15</v>
      </c>
      <c r="C17" s="4" t="s">
        <v>16</v>
      </c>
      <c r="D17" s="4" t="s">
        <v>43</v>
      </c>
      <c r="E17" s="4" t="s">
        <v>44</v>
      </c>
      <c r="F17" s="6">
        <v>6.25E-2</v>
      </c>
      <c r="G17" s="7">
        <v>4054.2</v>
      </c>
      <c r="H17" s="7">
        <v>3683.34</v>
      </c>
      <c r="I17" s="8">
        <f t="shared" si="1"/>
        <v>370.85999999999967</v>
      </c>
      <c r="J17" s="5">
        <v>1241.1099999999999</v>
      </c>
      <c r="K17" s="5">
        <v>1322.24</v>
      </c>
      <c r="L17" s="5">
        <v>1196.75</v>
      </c>
      <c r="M17" s="5">
        <f t="shared" si="2"/>
        <v>3760.1</v>
      </c>
    </row>
    <row r="18" spans="1:13" x14ac:dyDescent="0.25">
      <c r="A18" s="4">
        <v>16</v>
      </c>
      <c r="B18" s="4">
        <v>16</v>
      </c>
      <c r="C18" s="4" t="s">
        <v>13</v>
      </c>
      <c r="D18" s="4" t="s">
        <v>45</v>
      </c>
      <c r="E18" s="4" t="s">
        <v>46</v>
      </c>
      <c r="F18" s="6">
        <v>4.1666666666666664E-2</v>
      </c>
      <c r="G18" s="7">
        <v>3631.6</v>
      </c>
      <c r="H18" s="7">
        <v>3313.07</v>
      </c>
      <c r="I18" s="8">
        <f t="shared" si="1"/>
        <v>318.52999999999975</v>
      </c>
      <c r="J18" s="5">
        <v>1008.71</v>
      </c>
      <c r="K18" s="5">
        <v>1173</v>
      </c>
      <c r="L18" s="5">
        <v>1238.54</v>
      </c>
      <c r="M18" s="5">
        <f t="shared" si="2"/>
        <v>3420.25</v>
      </c>
    </row>
    <row r="19" spans="1:13" x14ac:dyDescent="0.25">
      <c r="A19" s="4">
        <v>17</v>
      </c>
      <c r="B19" s="4">
        <v>17</v>
      </c>
      <c r="C19" s="4" t="s">
        <v>13</v>
      </c>
      <c r="D19" s="4" t="s">
        <v>47</v>
      </c>
      <c r="E19" s="4" t="s">
        <v>48</v>
      </c>
      <c r="F19" s="6">
        <v>8.6805555555555566E-2</v>
      </c>
      <c r="G19" s="7">
        <v>3431</v>
      </c>
      <c r="H19" s="7">
        <v>3224.92</v>
      </c>
      <c r="I19" s="8">
        <f t="shared" si="1"/>
        <v>206.07999999999993</v>
      </c>
      <c r="J19" s="5">
        <v>1112.29</v>
      </c>
      <c r="K19" s="5">
        <v>1115.96</v>
      </c>
      <c r="L19" s="5">
        <v>1051.6400000000001</v>
      </c>
      <c r="M19" s="5">
        <f t="shared" si="2"/>
        <v>3279.8900000000003</v>
      </c>
    </row>
    <row r="20" spans="1:13" x14ac:dyDescent="0.25">
      <c r="A20" s="4">
        <v>18</v>
      </c>
      <c r="B20" s="4">
        <v>18</v>
      </c>
      <c r="C20" s="4" t="s">
        <v>13</v>
      </c>
      <c r="D20" s="4" t="s">
        <v>49</v>
      </c>
      <c r="E20" s="4" t="s">
        <v>50</v>
      </c>
      <c r="F20" s="6">
        <v>7.9861111111111105E-2</v>
      </c>
      <c r="G20" s="7">
        <v>3501.6</v>
      </c>
      <c r="H20" s="7">
        <v>3282.29</v>
      </c>
      <c r="I20" s="8">
        <f t="shared" si="1"/>
        <v>219.30999999999995</v>
      </c>
      <c r="J20" s="5">
        <v>1169.42</v>
      </c>
      <c r="K20" s="5">
        <v>1176.98</v>
      </c>
      <c r="L20" s="5">
        <v>999.68</v>
      </c>
      <c r="M20" s="5">
        <f t="shared" si="2"/>
        <v>3346.08</v>
      </c>
    </row>
    <row r="21" spans="1:13" x14ac:dyDescent="0.25">
      <c r="A21" s="4">
        <v>19</v>
      </c>
      <c r="B21" s="4">
        <v>19</v>
      </c>
      <c r="C21" s="4" t="s">
        <v>16</v>
      </c>
      <c r="D21" s="4" t="s">
        <v>51</v>
      </c>
      <c r="E21" s="4" t="s">
        <v>52</v>
      </c>
      <c r="F21" s="6">
        <v>9.0277777777777776E-2</v>
      </c>
      <c r="G21" s="7">
        <v>4024.4</v>
      </c>
      <c r="H21" s="7">
        <v>3687.81</v>
      </c>
      <c r="I21" s="8">
        <f t="shared" si="1"/>
        <v>336.59000000000015</v>
      </c>
      <c r="J21" s="5">
        <v>1321.04</v>
      </c>
      <c r="K21" s="5">
        <v>1180.8</v>
      </c>
      <c r="L21" s="5">
        <v>1331.35</v>
      </c>
      <c r="M21" s="5">
        <f t="shared" si="2"/>
        <v>3833.19</v>
      </c>
    </row>
    <row r="22" spans="1:13" x14ac:dyDescent="0.25">
      <c r="A22" s="4">
        <v>20</v>
      </c>
      <c r="B22" s="4">
        <v>20</v>
      </c>
      <c r="C22" s="4" t="s">
        <v>16</v>
      </c>
      <c r="D22" s="4" t="s">
        <v>53</v>
      </c>
      <c r="E22" s="4" t="s">
        <v>54</v>
      </c>
      <c r="F22" s="6">
        <v>7.6388888888888895E-2</v>
      </c>
      <c r="G22" s="7">
        <v>3750</v>
      </c>
      <c r="H22" s="7">
        <v>3608</v>
      </c>
      <c r="I22" s="8">
        <f t="shared" si="1"/>
        <v>142</v>
      </c>
      <c r="J22" s="5">
        <v>1187.67</v>
      </c>
      <c r="K22" s="5">
        <v>1112.48</v>
      </c>
      <c r="L22" s="5">
        <v>1257.8900000000001</v>
      </c>
      <c r="M22" s="5">
        <f t="shared" si="2"/>
        <v>3558.04</v>
      </c>
    </row>
    <row r="23" spans="1:13" x14ac:dyDescent="0.25">
      <c r="A23" s="4">
        <v>21</v>
      </c>
      <c r="B23" s="4">
        <v>21</v>
      </c>
      <c r="C23" s="4" t="s">
        <v>16</v>
      </c>
      <c r="D23" s="4" t="s">
        <v>55</v>
      </c>
      <c r="E23" s="4" t="s">
        <v>56</v>
      </c>
      <c r="F23" s="6">
        <v>6.25E-2</v>
      </c>
      <c r="G23" s="7">
        <v>3954.2</v>
      </c>
      <c r="H23" s="7">
        <v>3725.68</v>
      </c>
      <c r="I23" s="8">
        <f t="shared" si="1"/>
        <v>228.51999999999998</v>
      </c>
      <c r="J23" s="5">
        <v>1124.23</v>
      </c>
      <c r="K23" s="5">
        <v>1252.8499999999999</v>
      </c>
      <c r="L23" s="5">
        <v>1382.69</v>
      </c>
      <c r="M23" s="5">
        <f t="shared" si="2"/>
        <v>3759.77</v>
      </c>
    </row>
    <row r="24" spans="1:13" x14ac:dyDescent="0.25">
      <c r="A24" s="4">
        <v>22</v>
      </c>
      <c r="B24" s="4">
        <v>22</v>
      </c>
      <c r="C24" s="4" t="s">
        <v>16</v>
      </c>
      <c r="D24" s="4" t="s">
        <v>57</v>
      </c>
      <c r="E24" s="4" t="s">
        <v>58</v>
      </c>
      <c r="F24" s="6">
        <v>4.1666666666666664E-2</v>
      </c>
      <c r="G24" s="7">
        <v>4171.3</v>
      </c>
      <c r="H24" s="7">
        <v>4008.05</v>
      </c>
      <c r="I24" s="8">
        <f t="shared" si="1"/>
        <v>163.25</v>
      </c>
      <c r="J24" s="5">
        <v>1268.6600000000001</v>
      </c>
      <c r="K24" s="5">
        <v>1337.48</v>
      </c>
      <c r="L24" s="5">
        <v>1332.15</v>
      </c>
      <c r="M24" s="5">
        <f t="shared" si="2"/>
        <v>3938.2900000000004</v>
      </c>
    </row>
    <row r="25" spans="1:13" x14ac:dyDescent="0.25">
      <c r="A25" s="4">
        <v>23</v>
      </c>
      <c r="B25" s="4">
        <v>23</v>
      </c>
      <c r="C25" s="4" t="s">
        <v>16</v>
      </c>
      <c r="D25" s="4" t="s">
        <v>59</v>
      </c>
      <c r="E25" s="4" t="s">
        <v>60</v>
      </c>
      <c r="F25" s="6">
        <v>0.10416666666666667</v>
      </c>
      <c r="G25" s="7">
        <v>3689.2</v>
      </c>
      <c r="H25" s="7">
        <v>3450.36</v>
      </c>
      <c r="I25" s="8">
        <f t="shared" si="1"/>
        <v>238.83999999999969</v>
      </c>
      <c r="J25" s="5">
        <v>1165.56</v>
      </c>
      <c r="K25" s="5">
        <v>1177.82</v>
      </c>
      <c r="L25" s="5">
        <v>1114.4100000000001</v>
      </c>
      <c r="M25" s="5">
        <f t="shared" si="2"/>
        <v>3457.79</v>
      </c>
    </row>
    <row r="26" spans="1:13" x14ac:dyDescent="0.25">
      <c r="A26" s="4">
        <v>24</v>
      </c>
      <c r="B26" s="4">
        <v>24</v>
      </c>
      <c r="C26" s="4" t="s">
        <v>13</v>
      </c>
      <c r="D26" s="4" t="s">
        <v>61</v>
      </c>
      <c r="E26" s="4" t="s">
        <v>62</v>
      </c>
      <c r="F26" s="6">
        <v>0.10416666666666667</v>
      </c>
      <c r="G26" s="7">
        <v>3826.6</v>
      </c>
      <c r="H26" s="7">
        <v>3644.64</v>
      </c>
      <c r="I26" s="8">
        <f t="shared" si="1"/>
        <v>181.96000000000004</v>
      </c>
      <c r="J26" s="5">
        <v>1174.82</v>
      </c>
      <c r="K26" s="5">
        <v>1231.58</v>
      </c>
      <c r="L26" s="5">
        <v>1243.44</v>
      </c>
      <c r="M26" s="5">
        <f t="shared" si="2"/>
        <v>3649.8399999999997</v>
      </c>
    </row>
    <row r="27" spans="1:13" x14ac:dyDescent="0.25">
      <c r="A27" s="4">
        <v>25</v>
      </c>
      <c r="B27" s="4">
        <v>25</v>
      </c>
      <c r="C27" s="4" t="s">
        <v>13</v>
      </c>
      <c r="D27" s="4" t="s">
        <v>63</v>
      </c>
      <c r="E27" s="4" t="s">
        <v>64</v>
      </c>
      <c r="F27" s="6">
        <v>8.3333333333333329E-2</v>
      </c>
      <c r="G27" s="7">
        <v>3640</v>
      </c>
      <c r="H27" s="7">
        <v>3466.64</v>
      </c>
      <c r="I27" s="8">
        <f t="shared" si="1"/>
        <v>173.36000000000013</v>
      </c>
      <c r="J27" s="5">
        <v>1070.8</v>
      </c>
      <c r="K27" s="5">
        <v>1133.47</v>
      </c>
      <c r="L27" s="5">
        <v>1325.55</v>
      </c>
      <c r="M27" s="5">
        <f t="shared" si="2"/>
        <v>3529.8199999999997</v>
      </c>
    </row>
    <row r="28" spans="1:13" x14ac:dyDescent="0.25">
      <c r="A28" s="4">
        <v>26</v>
      </c>
      <c r="B28" s="4">
        <v>26</v>
      </c>
      <c r="C28" s="4" t="s">
        <v>16</v>
      </c>
      <c r="D28" s="4" t="s">
        <v>65</v>
      </c>
      <c r="E28" s="4" t="s">
        <v>66</v>
      </c>
      <c r="F28" s="6">
        <v>8.3333333333333329E-2</v>
      </c>
      <c r="G28" s="7">
        <v>4130.1000000000004</v>
      </c>
      <c r="H28" s="7">
        <v>3945.99</v>
      </c>
      <c r="I28" s="8">
        <f t="shared" si="1"/>
        <v>184.11000000000058</v>
      </c>
      <c r="J28" s="5">
        <v>1409.51</v>
      </c>
      <c r="K28" s="5">
        <v>1268.49</v>
      </c>
      <c r="L28" s="5">
        <v>1267.8599999999999</v>
      </c>
      <c r="M28" s="5">
        <f t="shared" si="2"/>
        <v>3945.8599999999997</v>
      </c>
    </row>
    <row r="29" spans="1:13" x14ac:dyDescent="0.25">
      <c r="A29" s="4">
        <v>27</v>
      </c>
      <c r="B29" s="4">
        <v>27</v>
      </c>
      <c r="C29" s="4" t="s">
        <v>13</v>
      </c>
      <c r="D29" s="4" t="s">
        <v>67</v>
      </c>
      <c r="E29" s="4" t="s">
        <v>68</v>
      </c>
      <c r="F29" s="6">
        <v>7.6388888888888895E-2</v>
      </c>
      <c r="G29" s="7">
        <v>3756</v>
      </c>
      <c r="H29" s="7">
        <v>3599.67</v>
      </c>
      <c r="I29" s="8">
        <f t="shared" si="1"/>
        <v>156.32999999999993</v>
      </c>
      <c r="J29" s="5">
        <v>1126.44</v>
      </c>
      <c r="K29" s="5">
        <v>1194.94</v>
      </c>
      <c r="L29" s="5">
        <v>1326.1</v>
      </c>
      <c r="M29" s="5">
        <f t="shared" si="2"/>
        <v>3647.48</v>
      </c>
    </row>
    <row r="30" spans="1:13" x14ac:dyDescent="0.25">
      <c r="A30" s="4">
        <v>28</v>
      </c>
      <c r="B30" s="4">
        <v>28</v>
      </c>
      <c r="C30" s="4" t="s">
        <v>16</v>
      </c>
      <c r="D30" s="4" t="s">
        <v>69</v>
      </c>
      <c r="E30" s="4" t="s">
        <v>70</v>
      </c>
      <c r="F30" s="6">
        <v>7.9861111111111105E-2</v>
      </c>
      <c r="G30" s="7">
        <v>4025.9</v>
      </c>
      <c r="H30" s="7">
        <v>3659.55</v>
      </c>
      <c r="I30" s="8">
        <f t="shared" si="1"/>
        <v>366.34999999999991</v>
      </c>
      <c r="J30" s="5">
        <v>1173.55</v>
      </c>
      <c r="K30" s="5">
        <v>1188.3599999999999</v>
      </c>
      <c r="L30" s="5">
        <v>1321.81</v>
      </c>
      <c r="M30" s="5">
        <f t="shared" si="2"/>
        <v>3683.72</v>
      </c>
    </row>
    <row r="31" spans="1:13" x14ac:dyDescent="0.25">
      <c r="A31" s="4">
        <v>29</v>
      </c>
      <c r="B31" s="4">
        <v>29</v>
      </c>
      <c r="C31" s="4" t="s">
        <v>16</v>
      </c>
      <c r="D31" s="4" t="s">
        <v>71</v>
      </c>
      <c r="E31" s="4" t="s">
        <v>72</v>
      </c>
      <c r="F31" s="6">
        <v>8.3333333333333329E-2</v>
      </c>
      <c r="G31" s="7">
        <v>4171.3</v>
      </c>
      <c r="H31" s="7">
        <v>3981.65</v>
      </c>
      <c r="I31" s="8">
        <f t="shared" si="1"/>
        <v>189.65000000000009</v>
      </c>
      <c r="J31" s="5">
        <v>1274.27</v>
      </c>
      <c r="K31" s="5">
        <v>1271.2</v>
      </c>
      <c r="L31" s="5">
        <v>1410.4</v>
      </c>
      <c r="M31" s="5">
        <f t="shared" si="2"/>
        <v>3955.8700000000003</v>
      </c>
    </row>
    <row r="32" spans="1:13" x14ac:dyDescent="0.25">
      <c r="A32" s="4">
        <v>30</v>
      </c>
      <c r="B32" s="4">
        <v>30</v>
      </c>
      <c r="C32" s="4" t="s">
        <v>13</v>
      </c>
      <c r="D32" s="4" t="s">
        <v>73</v>
      </c>
      <c r="E32" s="4" t="s">
        <v>74</v>
      </c>
      <c r="F32" s="6">
        <v>8.3333333333333329E-2</v>
      </c>
      <c r="G32" s="7">
        <v>3436.6</v>
      </c>
      <c r="H32" s="7">
        <v>3292.7</v>
      </c>
      <c r="I32" s="8">
        <f t="shared" si="1"/>
        <v>143.90000000000009</v>
      </c>
      <c r="J32" s="5">
        <v>1066.74</v>
      </c>
      <c r="K32" s="5">
        <v>1130.06</v>
      </c>
      <c r="L32" s="5">
        <v>1136.08</v>
      </c>
      <c r="M32" s="5">
        <f t="shared" si="2"/>
        <v>3332.88</v>
      </c>
    </row>
    <row r="33" spans="1:13" x14ac:dyDescent="0.25">
      <c r="A33" s="4">
        <v>31</v>
      </c>
      <c r="B33" s="4">
        <v>31</v>
      </c>
      <c r="C33" s="4" t="s">
        <v>13</v>
      </c>
      <c r="D33" s="4" t="s">
        <v>75</v>
      </c>
      <c r="E33" s="4" t="s">
        <v>76</v>
      </c>
      <c r="F33" s="6">
        <v>4.1666666666666664E-2</v>
      </c>
      <c r="G33" s="7">
        <v>3705</v>
      </c>
      <c r="H33" s="7">
        <v>3587.03</v>
      </c>
      <c r="I33" s="8">
        <f t="shared" si="1"/>
        <v>117.9699999999998</v>
      </c>
      <c r="J33" s="5">
        <v>1198.27</v>
      </c>
      <c r="K33" s="5">
        <v>1136.3900000000001</v>
      </c>
      <c r="L33" s="5">
        <v>1262.06</v>
      </c>
      <c r="M33" s="5">
        <f t="shared" si="2"/>
        <v>3596.72</v>
      </c>
    </row>
    <row r="34" spans="1:13" x14ac:dyDescent="0.25">
      <c r="A34" s="4">
        <v>32</v>
      </c>
      <c r="B34" s="4">
        <v>32</v>
      </c>
      <c r="C34" s="4" t="s">
        <v>16</v>
      </c>
      <c r="D34" s="4" t="s">
        <v>77</v>
      </c>
      <c r="E34" s="4" t="s">
        <v>78</v>
      </c>
      <c r="F34" s="6">
        <v>3.4722222222222224E-2</v>
      </c>
      <c r="G34" s="7">
        <v>3958.4</v>
      </c>
      <c r="H34" s="7">
        <v>3747.31</v>
      </c>
      <c r="I34" s="8">
        <f t="shared" si="1"/>
        <v>211.09000000000015</v>
      </c>
      <c r="J34" s="5">
        <v>1127.5999999999999</v>
      </c>
      <c r="K34" s="5">
        <v>1321.94</v>
      </c>
      <c r="L34" s="5">
        <v>1334.51</v>
      </c>
      <c r="M34" s="5">
        <f t="shared" si="2"/>
        <v>3784.05</v>
      </c>
    </row>
    <row r="35" spans="1:13" x14ac:dyDescent="0.25">
      <c r="A35" s="4">
        <v>33</v>
      </c>
      <c r="B35" s="4">
        <v>33</v>
      </c>
      <c r="C35" s="4" t="s">
        <v>13</v>
      </c>
      <c r="D35" s="4" t="s">
        <v>79</v>
      </c>
      <c r="E35" s="9" t="s">
        <v>80</v>
      </c>
      <c r="F35" s="6">
        <v>8.3333333333333329E-2</v>
      </c>
      <c r="G35" s="7">
        <v>3637.2</v>
      </c>
      <c r="H35" s="7">
        <v>3458.45</v>
      </c>
      <c r="I35" s="8">
        <f t="shared" si="1"/>
        <v>178.75</v>
      </c>
      <c r="J35" s="5">
        <v>1195.3</v>
      </c>
      <c r="K35" s="5">
        <v>1196.4100000000001</v>
      </c>
      <c r="L35" s="5">
        <v>1133.68</v>
      </c>
      <c r="M35" s="5">
        <f t="shared" si="2"/>
        <v>3525.3900000000003</v>
      </c>
    </row>
    <row r="36" spans="1:13" x14ac:dyDescent="0.25">
      <c r="A36" s="4">
        <v>34</v>
      </c>
      <c r="B36" s="4">
        <v>34</v>
      </c>
      <c r="C36" s="4" t="s">
        <v>16</v>
      </c>
      <c r="D36" s="4" t="s">
        <v>81</v>
      </c>
      <c r="E36" s="4" t="s">
        <v>82</v>
      </c>
      <c r="F36" s="6">
        <v>8.3333333333333329E-2</v>
      </c>
      <c r="G36" s="7">
        <v>4037.2</v>
      </c>
      <c r="H36" s="7">
        <v>3829.99</v>
      </c>
      <c r="I36" s="8">
        <f t="shared" si="1"/>
        <v>207.21000000000004</v>
      </c>
      <c r="J36" s="5">
        <v>1318.87</v>
      </c>
      <c r="K36" s="5">
        <v>1267.48</v>
      </c>
      <c r="L36" s="5">
        <v>1252.81</v>
      </c>
      <c r="M36" s="5">
        <f t="shared" si="2"/>
        <v>3839.16</v>
      </c>
    </row>
    <row r="37" spans="1:13" x14ac:dyDescent="0.25">
      <c r="A37" s="4">
        <v>35</v>
      </c>
      <c r="B37" s="4">
        <v>35</v>
      </c>
      <c r="C37" s="4" t="s">
        <v>16</v>
      </c>
      <c r="D37" s="4" t="s">
        <v>83</v>
      </c>
      <c r="E37" s="4" t="s">
        <v>84</v>
      </c>
      <c r="F37" s="6">
        <v>7.6388888888888895E-2</v>
      </c>
      <c r="G37" s="7">
        <v>3888.1</v>
      </c>
      <c r="H37" s="7">
        <v>3655.2</v>
      </c>
      <c r="I37" s="8">
        <f t="shared" si="1"/>
        <v>232.90000000000009</v>
      </c>
      <c r="J37" s="5">
        <v>1186.8399999999999</v>
      </c>
      <c r="K37" s="5">
        <v>1253.5899999999999</v>
      </c>
      <c r="L37" s="5">
        <v>1257.8499999999999</v>
      </c>
      <c r="M37" s="5">
        <f t="shared" si="2"/>
        <v>3698.2799999999997</v>
      </c>
    </row>
    <row r="38" spans="1:13" x14ac:dyDescent="0.25">
      <c r="A38" s="4">
        <v>36</v>
      </c>
      <c r="B38" s="4">
        <v>36</v>
      </c>
      <c r="C38" s="4" t="s">
        <v>13</v>
      </c>
      <c r="D38" s="4" t="s">
        <v>85</v>
      </c>
      <c r="E38" s="4" t="s">
        <v>86</v>
      </c>
      <c r="F38" s="6">
        <v>7.2916666666666671E-2</v>
      </c>
      <c r="G38" s="7">
        <v>3510</v>
      </c>
      <c r="H38" s="7">
        <v>3396.26</v>
      </c>
      <c r="I38" s="8">
        <f t="shared" si="1"/>
        <v>113.73999999999978</v>
      </c>
      <c r="J38" s="5">
        <v>945.34</v>
      </c>
      <c r="K38" s="5">
        <v>1195.48</v>
      </c>
      <c r="L38" s="5">
        <v>1282.3800000000001</v>
      </c>
      <c r="M38" s="5">
        <f t="shared" si="2"/>
        <v>3423.2000000000003</v>
      </c>
    </row>
    <row r="39" spans="1:13" x14ac:dyDescent="0.25">
      <c r="A39" s="4">
        <v>37</v>
      </c>
      <c r="B39" s="4">
        <v>37</v>
      </c>
      <c r="C39" s="10" t="s">
        <v>16</v>
      </c>
      <c r="D39" s="10" t="s">
        <v>87</v>
      </c>
      <c r="E39" s="10" t="s">
        <v>88</v>
      </c>
      <c r="F39" s="6">
        <v>6.25E-2</v>
      </c>
      <c r="G39" s="11">
        <v>3817.4</v>
      </c>
      <c r="H39" s="11">
        <v>3575.07</v>
      </c>
      <c r="I39" s="8">
        <f t="shared" si="1"/>
        <v>242.32999999999993</v>
      </c>
      <c r="J39" s="5">
        <v>1124.17</v>
      </c>
      <c r="K39" s="5">
        <v>1250.4100000000001</v>
      </c>
      <c r="L39" s="5">
        <v>1262</v>
      </c>
      <c r="M39" s="5">
        <f t="shared" si="2"/>
        <v>3636.58</v>
      </c>
    </row>
    <row r="40" spans="1:13" x14ac:dyDescent="0.25">
      <c r="A40" s="4">
        <v>38</v>
      </c>
      <c r="B40" s="4">
        <v>38</v>
      </c>
      <c r="C40" s="4" t="s">
        <v>13</v>
      </c>
      <c r="D40" s="4" t="s">
        <v>89</v>
      </c>
      <c r="E40" s="4" t="s">
        <v>90</v>
      </c>
      <c r="F40" s="6">
        <v>5.5555555555555552E-2</v>
      </c>
      <c r="G40" s="7">
        <v>3826.6</v>
      </c>
      <c r="H40" s="7">
        <v>3628.04</v>
      </c>
      <c r="I40" s="8">
        <f t="shared" si="1"/>
        <v>198.55999999999995</v>
      </c>
      <c r="J40" s="5">
        <v>1184.8599999999999</v>
      </c>
      <c r="K40" s="5">
        <v>1200.3399999999999</v>
      </c>
      <c r="L40" s="5">
        <v>1389.22</v>
      </c>
      <c r="M40" s="5">
        <f t="shared" si="2"/>
        <v>3774.42</v>
      </c>
    </row>
    <row r="41" spans="1:13" x14ac:dyDescent="0.25">
      <c r="A41" s="4">
        <v>39</v>
      </c>
      <c r="B41" s="4">
        <v>39</v>
      </c>
      <c r="C41" s="4" t="s">
        <v>13</v>
      </c>
      <c r="D41" s="4" t="s">
        <v>91</v>
      </c>
      <c r="E41" s="4" t="s">
        <v>92</v>
      </c>
      <c r="F41" s="6">
        <v>8.3333333333333329E-2</v>
      </c>
      <c r="G41" s="7">
        <v>3770</v>
      </c>
      <c r="H41" s="7">
        <v>3611.82</v>
      </c>
      <c r="I41" s="8">
        <f t="shared" si="1"/>
        <v>158.17999999999984</v>
      </c>
      <c r="J41" s="5">
        <v>1122.78</v>
      </c>
      <c r="K41" s="5">
        <v>1196.6099999999999</v>
      </c>
      <c r="L41" s="5">
        <v>1325.57</v>
      </c>
      <c r="M41" s="5">
        <f t="shared" si="2"/>
        <v>3644.96</v>
      </c>
    </row>
    <row r="42" spans="1:13" x14ac:dyDescent="0.25">
      <c r="A42" s="4">
        <v>40</v>
      </c>
      <c r="B42" s="4">
        <v>40</v>
      </c>
      <c r="C42" s="4" t="s">
        <v>13</v>
      </c>
      <c r="D42" s="4" t="s">
        <v>93</v>
      </c>
      <c r="E42" s="4" t="s">
        <v>94</v>
      </c>
      <c r="F42" s="6">
        <v>8.3333333333333329E-2</v>
      </c>
      <c r="G42" s="7">
        <v>3702.2</v>
      </c>
      <c r="H42" s="7">
        <v>3510.24</v>
      </c>
      <c r="I42" s="8">
        <f t="shared" si="1"/>
        <v>191.96000000000004</v>
      </c>
      <c r="J42" s="5">
        <v>1134.5999999999999</v>
      </c>
      <c r="K42" s="5">
        <v>1200.51</v>
      </c>
      <c r="L42" s="5">
        <v>1256.58</v>
      </c>
      <c r="M42" s="5">
        <f t="shared" si="2"/>
        <v>3591.6899999999996</v>
      </c>
    </row>
    <row r="43" spans="1:13" x14ac:dyDescent="0.25">
      <c r="A43" s="4">
        <v>41</v>
      </c>
      <c r="B43" s="4">
        <v>41</v>
      </c>
      <c r="C43" s="4" t="s">
        <v>16</v>
      </c>
      <c r="D43" s="4" t="s">
        <v>95</v>
      </c>
      <c r="E43" s="4" t="s">
        <v>96</v>
      </c>
      <c r="F43" s="6">
        <v>4.1666666666666664E-2</v>
      </c>
      <c r="G43" s="7">
        <v>3822.9</v>
      </c>
      <c r="H43" s="7">
        <v>3650.69</v>
      </c>
      <c r="I43" s="8">
        <f t="shared" si="1"/>
        <v>172.21000000000004</v>
      </c>
      <c r="J43" s="5">
        <v>1130.72</v>
      </c>
      <c r="K43" s="5">
        <v>1259.3399999999999</v>
      </c>
      <c r="L43" s="5">
        <v>1261.3</v>
      </c>
      <c r="M43" s="5">
        <f t="shared" si="2"/>
        <v>3651.3599999999997</v>
      </c>
    </row>
    <row r="44" spans="1:13" x14ac:dyDescent="0.25">
      <c r="A44" s="4">
        <v>42</v>
      </c>
      <c r="B44" s="4">
        <v>42</v>
      </c>
      <c r="C44" s="4" t="s">
        <v>16</v>
      </c>
      <c r="D44" s="4" t="s">
        <v>97</v>
      </c>
      <c r="E44" s="4" t="s">
        <v>98</v>
      </c>
      <c r="F44" s="6">
        <v>5.5555555555555552E-2</v>
      </c>
      <c r="G44" s="7">
        <v>4034.7</v>
      </c>
      <c r="H44" s="7">
        <v>3840.8</v>
      </c>
      <c r="I44" s="8">
        <f t="shared" si="1"/>
        <v>193.89999999999964</v>
      </c>
      <c r="J44" s="5">
        <v>1185.5</v>
      </c>
      <c r="K44" s="5">
        <v>1332.82</v>
      </c>
      <c r="L44" s="5">
        <v>1333.81</v>
      </c>
      <c r="M44" s="5">
        <f t="shared" si="2"/>
        <v>3852.1299999999997</v>
      </c>
    </row>
    <row r="45" spans="1:13" x14ac:dyDescent="0.25">
      <c r="A45" s="4">
        <v>43</v>
      </c>
      <c r="B45" s="4">
        <v>43</v>
      </c>
      <c r="C45" s="4" t="s">
        <v>16</v>
      </c>
      <c r="D45" s="4" t="s">
        <v>99</v>
      </c>
      <c r="E45" s="4" t="s">
        <v>100</v>
      </c>
      <c r="F45" s="6">
        <v>7.2916666666666671E-2</v>
      </c>
      <c r="G45" s="7">
        <v>3458.8</v>
      </c>
      <c r="H45" s="7">
        <v>3272.03</v>
      </c>
      <c r="I45" s="8">
        <f t="shared" si="1"/>
        <v>186.76999999999998</v>
      </c>
      <c r="J45" s="5">
        <v>1054.3900000000001</v>
      </c>
      <c r="K45" s="5">
        <v>1121.72</v>
      </c>
      <c r="L45" s="5">
        <v>1121.67</v>
      </c>
      <c r="M45" s="5">
        <f t="shared" si="2"/>
        <v>3297.78</v>
      </c>
    </row>
    <row r="46" spans="1:13" x14ac:dyDescent="0.25">
      <c r="A46" s="4">
        <v>44</v>
      </c>
      <c r="B46" s="4">
        <v>44</v>
      </c>
      <c r="C46" s="4" t="s">
        <v>16</v>
      </c>
      <c r="D46" s="4" t="s">
        <v>101</v>
      </c>
      <c r="E46" s="4" t="s">
        <v>102</v>
      </c>
      <c r="F46" s="6">
        <v>7.9861111111111105E-2</v>
      </c>
      <c r="G46" s="7">
        <v>4060</v>
      </c>
      <c r="H46" s="7">
        <v>3860.8</v>
      </c>
      <c r="I46" s="8">
        <f t="shared" si="1"/>
        <v>199.19999999999982</v>
      </c>
      <c r="J46" s="5">
        <v>1203.9000000000001</v>
      </c>
      <c r="K46" s="5">
        <v>1332.37</v>
      </c>
      <c r="L46" s="5">
        <v>1336.67</v>
      </c>
      <c r="M46" s="5">
        <f t="shared" si="2"/>
        <v>3872.94</v>
      </c>
    </row>
    <row r="47" spans="1:13" x14ac:dyDescent="0.25">
      <c r="A47" s="4">
        <v>45</v>
      </c>
      <c r="B47" s="4">
        <v>45</v>
      </c>
      <c r="C47" s="4" t="s">
        <v>16</v>
      </c>
      <c r="D47" s="4" t="s">
        <v>103</v>
      </c>
      <c r="E47" s="4" t="s">
        <v>104</v>
      </c>
      <c r="F47" s="6">
        <v>7.9861111111111105E-2</v>
      </c>
      <c r="G47" s="7">
        <v>4100.6000000000004</v>
      </c>
      <c r="H47" s="7">
        <v>4060.1</v>
      </c>
      <c r="I47" s="8">
        <f t="shared" si="1"/>
        <v>40.500000000000455</v>
      </c>
      <c r="J47" s="5">
        <v>1263.55</v>
      </c>
      <c r="K47" s="5">
        <v>1266.3</v>
      </c>
      <c r="L47" s="5">
        <v>1331.72</v>
      </c>
      <c r="M47" s="5">
        <f t="shared" si="2"/>
        <v>3861.5699999999997</v>
      </c>
    </row>
    <row r="48" spans="1:13" x14ac:dyDescent="0.25">
      <c r="A48" s="4">
        <v>46</v>
      </c>
      <c r="B48" s="4">
        <v>46</v>
      </c>
      <c r="C48" s="4" t="s">
        <v>13</v>
      </c>
      <c r="D48" s="4" t="s">
        <v>105</v>
      </c>
      <c r="E48" s="4" t="s">
        <v>106</v>
      </c>
      <c r="F48" s="6">
        <v>7.9861111111111105E-2</v>
      </c>
      <c r="G48" s="7">
        <v>3640</v>
      </c>
      <c r="H48" s="7">
        <v>3500</v>
      </c>
      <c r="I48" s="8">
        <f t="shared" si="1"/>
        <v>140</v>
      </c>
      <c r="J48" s="5">
        <v>1132.0899999999999</v>
      </c>
      <c r="K48" s="5">
        <v>1133.48</v>
      </c>
      <c r="L48" s="5">
        <v>1261.99</v>
      </c>
      <c r="M48" s="5">
        <f t="shared" si="2"/>
        <v>3527.5599999999995</v>
      </c>
    </row>
    <row r="49" spans="1:13" x14ac:dyDescent="0.25">
      <c r="A49" s="4">
        <v>47</v>
      </c>
      <c r="B49" s="4">
        <v>47</v>
      </c>
      <c r="C49" s="4" t="s">
        <v>13</v>
      </c>
      <c r="D49" s="4" t="s">
        <v>107</v>
      </c>
      <c r="E49" s="4" t="s">
        <v>108</v>
      </c>
      <c r="F49" s="6">
        <v>7.2916666666666671E-2</v>
      </c>
      <c r="G49" s="7">
        <v>3705</v>
      </c>
      <c r="H49" s="7">
        <v>3482.84</v>
      </c>
      <c r="I49" s="8">
        <f t="shared" si="1"/>
        <v>222.15999999999985</v>
      </c>
      <c r="J49" s="5">
        <v>1132.48</v>
      </c>
      <c r="K49" s="5">
        <v>1201.58</v>
      </c>
      <c r="L49" s="5">
        <v>1198.3900000000001</v>
      </c>
      <c r="M49" s="5">
        <f t="shared" si="2"/>
        <v>3532.45</v>
      </c>
    </row>
    <row r="50" spans="1:13" x14ac:dyDescent="0.25">
      <c r="A50" s="4">
        <v>48</v>
      </c>
      <c r="B50" s="4">
        <v>48</v>
      </c>
      <c r="C50" s="4" t="s">
        <v>16</v>
      </c>
      <c r="D50" s="4" t="s">
        <v>109</v>
      </c>
      <c r="E50" s="4" t="s">
        <v>110</v>
      </c>
      <c r="F50" s="6">
        <v>6.9444444444444434E-2</v>
      </c>
      <c r="G50" s="7">
        <v>4102.1000000000004</v>
      </c>
      <c r="H50" s="7">
        <v>3722.61</v>
      </c>
      <c r="I50" s="8">
        <f t="shared" si="1"/>
        <v>379.49000000000024</v>
      </c>
      <c r="J50" s="5">
        <v>1124.67</v>
      </c>
      <c r="K50" s="5">
        <v>1390.13</v>
      </c>
      <c r="L50" s="5">
        <v>1257.07</v>
      </c>
      <c r="M50" s="5">
        <f t="shared" si="2"/>
        <v>3771.87</v>
      </c>
    </row>
    <row r="51" spans="1:13" x14ac:dyDescent="0.25">
      <c r="A51" s="4">
        <v>49</v>
      </c>
      <c r="B51" s="4">
        <v>49</v>
      </c>
      <c r="C51" s="4" t="s">
        <v>13</v>
      </c>
      <c r="D51" s="4" t="s">
        <v>111</v>
      </c>
      <c r="E51" s="4" t="s">
        <v>112</v>
      </c>
      <c r="F51" s="6">
        <v>3.4722222222222224E-2</v>
      </c>
      <c r="G51" s="7">
        <v>3558.2</v>
      </c>
      <c r="H51" s="7">
        <v>3391.71</v>
      </c>
      <c r="I51" s="8">
        <f t="shared" si="1"/>
        <v>166.48999999999978</v>
      </c>
      <c r="J51" s="5">
        <v>936.54</v>
      </c>
      <c r="K51" s="5">
        <v>1255.49</v>
      </c>
      <c r="L51" s="5">
        <v>1260.53</v>
      </c>
      <c r="M51" s="5">
        <f t="shared" si="2"/>
        <v>3452.5599999999995</v>
      </c>
    </row>
    <row r="52" spans="1:13" x14ac:dyDescent="0.25">
      <c r="A52" s="4">
        <v>50</v>
      </c>
      <c r="B52" s="4">
        <v>50</v>
      </c>
      <c r="C52" s="4" t="s">
        <v>16</v>
      </c>
      <c r="D52" s="4" t="s">
        <v>113</v>
      </c>
      <c r="E52" s="4" t="s">
        <v>114</v>
      </c>
      <c r="F52" s="6">
        <v>9.375E-2</v>
      </c>
      <c r="G52" s="7">
        <v>4029</v>
      </c>
      <c r="H52" s="7">
        <v>3809.42</v>
      </c>
      <c r="I52" s="8">
        <f t="shared" si="1"/>
        <v>219.57999999999993</v>
      </c>
      <c r="J52" s="5">
        <v>1054.3499999999999</v>
      </c>
      <c r="K52" s="5">
        <v>1449.32</v>
      </c>
      <c r="L52" s="5">
        <v>1307.73</v>
      </c>
      <c r="M52" s="5">
        <f t="shared" si="2"/>
        <v>3811.4</v>
      </c>
    </row>
    <row r="53" spans="1:13" x14ac:dyDescent="0.25">
      <c r="A53" s="4">
        <v>51</v>
      </c>
      <c r="B53" s="4">
        <v>51</v>
      </c>
      <c r="C53" s="4" t="s">
        <v>16</v>
      </c>
      <c r="D53" s="4" t="s">
        <v>115</v>
      </c>
      <c r="E53" s="4" t="s">
        <v>116</v>
      </c>
      <c r="F53" s="6">
        <v>7.6388888888888895E-2</v>
      </c>
      <c r="G53" s="7">
        <v>4057.4</v>
      </c>
      <c r="H53" s="7">
        <v>3869.83</v>
      </c>
      <c r="I53" s="8">
        <f t="shared" si="1"/>
        <v>187.57000000000016</v>
      </c>
      <c r="J53" s="5">
        <v>1196.51</v>
      </c>
      <c r="K53" s="5">
        <v>1265.8</v>
      </c>
      <c r="L53" s="5">
        <v>1399.74</v>
      </c>
      <c r="M53" s="5">
        <f t="shared" si="2"/>
        <v>3862.05</v>
      </c>
    </row>
    <row r="54" spans="1:13" x14ac:dyDescent="0.25">
      <c r="A54" s="4">
        <v>52</v>
      </c>
      <c r="B54" s="4">
        <v>52</v>
      </c>
      <c r="C54" s="4" t="s">
        <v>13</v>
      </c>
      <c r="D54" s="4" t="s">
        <v>117</v>
      </c>
      <c r="E54" s="4" t="s">
        <v>118</v>
      </c>
      <c r="F54" s="6">
        <v>7.2916666666666671E-2</v>
      </c>
      <c r="G54" s="7">
        <v>3770</v>
      </c>
      <c r="H54" s="7">
        <v>3667.42</v>
      </c>
      <c r="I54" s="8">
        <f t="shared" si="1"/>
        <v>102.57999999999993</v>
      </c>
      <c r="J54" s="5">
        <v>1194.33</v>
      </c>
      <c r="K54" s="5">
        <v>1190.55</v>
      </c>
      <c r="L54" s="5">
        <v>1260</v>
      </c>
      <c r="M54" s="5">
        <f t="shared" si="2"/>
        <v>3644.88</v>
      </c>
    </row>
    <row r="55" spans="1:13" x14ac:dyDescent="0.25">
      <c r="A55" s="4">
        <v>53</v>
      </c>
      <c r="B55" s="4">
        <v>53</v>
      </c>
      <c r="C55" s="4" t="s">
        <v>16</v>
      </c>
      <c r="D55" s="4" t="s">
        <v>119</v>
      </c>
      <c r="E55" s="4" t="s">
        <v>120</v>
      </c>
      <c r="F55" s="6">
        <v>7.6388888888888895E-2</v>
      </c>
      <c r="G55" s="7">
        <v>4097.2</v>
      </c>
      <c r="H55" s="7">
        <v>3885.38</v>
      </c>
      <c r="I55" s="8">
        <f t="shared" si="1"/>
        <v>211.81999999999971</v>
      </c>
      <c r="J55" s="5">
        <v>1255.49</v>
      </c>
      <c r="K55" s="5">
        <v>1394.75</v>
      </c>
      <c r="L55" s="5">
        <v>1253.8900000000001</v>
      </c>
      <c r="M55" s="5">
        <f t="shared" si="2"/>
        <v>3904.13</v>
      </c>
    </row>
    <row r="56" spans="1:13" x14ac:dyDescent="0.25">
      <c r="A56" s="4">
        <v>54</v>
      </c>
      <c r="B56" s="4">
        <v>54</v>
      </c>
      <c r="C56" s="4" t="s">
        <v>13</v>
      </c>
      <c r="D56" s="4" t="s">
        <v>121</v>
      </c>
      <c r="E56" s="4" t="s">
        <v>122</v>
      </c>
      <c r="F56" s="6">
        <v>5.5555555555555552E-2</v>
      </c>
      <c r="G56" s="7">
        <v>3366</v>
      </c>
      <c r="H56" s="7">
        <v>3227.13</v>
      </c>
      <c r="I56" s="8">
        <f t="shared" si="1"/>
        <v>138.86999999999989</v>
      </c>
      <c r="J56" s="5">
        <v>1067.19</v>
      </c>
      <c r="K56" s="5">
        <v>1131.32</v>
      </c>
      <c r="L56" s="5">
        <v>1071.8599999999999</v>
      </c>
      <c r="M56" s="5">
        <f t="shared" si="2"/>
        <v>3270.37</v>
      </c>
    </row>
    <row r="57" spans="1:13" x14ac:dyDescent="0.25">
      <c r="A57" s="4">
        <v>55</v>
      </c>
      <c r="B57" s="4">
        <v>55</v>
      </c>
      <c r="C57" s="4" t="s">
        <v>16</v>
      </c>
      <c r="D57" s="4" t="s">
        <v>123</v>
      </c>
      <c r="E57" s="4" t="s">
        <v>124</v>
      </c>
      <c r="F57" s="6">
        <v>4.8611111111111112E-2</v>
      </c>
      <c r="G57" s="7">
        <v>4031.9</v>
      </c>
      <c r="H57" s="7">
        <v>3793.56</v>
      </c>
      <c r="I57" s="8">
        <f t="shared" si="1"/>
        <v>238.34000000000015</v>
      </c>
      <c r="J57" s="5">
        <v>1187.7</v>
      </c>
      <c r="K57" s="5">
        <v>1250.3900000000001</v>
      </c>
      <c r="L57" s="5">
        <v>1389.5</v>
      </c>
      <c r="M57" s="5">
        <f t="shared" si="2"/>
        <v>3827.59</v>
      </c>
    </row>
    <row r="58" spans="1:13" x14ac:dyDescent="0.25">
      <c r="A58" s="4">
        <v>56</v>
      </c>
      <c r="B58" s="4">
        <v>56</v>
      </c>
      <c r="C58" s="4" t="s">
        <v>13</v>
      </c>
      <c r="D58" s="4" t="s">
        <v>125</v>
      </c>
      <c r="E58" s="4" t="s">
        <v>126</v>
      </c>
      <c r="F58" s="6">
        <v>3.8194444444444441E-2</v>
      </c>
      <c r="G58" s="7">
        <v>3244.4</v>
      </c>
      <c r="H58" s="7">
        <v>3092.72</v>
      </c>
      <c r="I58" s="8">
        <f t="shared" si="1"/>
        <v>151.68000000000029</v>
      </c>
      <c r="J58" s="5">
        <v>880.29</v>
      </c>
      <c r="K58" s="5">
        <v>1132.9100000000001</v>
      </c>
      <c r="L58" s="5">
        <v>1132.92</v>
      </c>
      <c r="M58" s="5">
        <f t="shared" si="2"/>
        <v>3146.12</v>
      </c>
    </row>
    <row r="59" spans="1:13" x14ac:dyDescent="0.25">
      <c r="A59" s="4">
        <v>57</v>
      </c>
      <c r="B59" s="4">
        <v>57</v>
      </c>
      <c r="C59" s="4" t="s">
        <v>13</v>
      </c>
      <c r="D59" s="4" t="s">
        <v>127</v>
      </c>
      <c r="E59" s="4" t="s">
        <v>128</v>
      </c>
      <c r="F59" s="6">
        <v>8.3333333333333329E-2</v>
      </c>
      <c r="G59" s="7">
        <v>3758.8</v>
      </c>
      <c r="H59" s="7">
        <v>3594.67</v>
      </c>
      <c r="I59" s="8">
        <f t="shared" si="1"/>
        <v>164.13000000000011</v>
      </c>
      <c r="J59" s="5">
        <v>1197.08</v>
      </c>
      <c r="K59" s="5">
        <v>1193.8399999999999</v>
      </c>
      <c r="L59" s="5">
        <v>1262.3800000000001</v>
      </c>
      <c r="M59" s="5">
        <f t="shared" si="2"/>
        <v>3653.3</v>
      </c>
    </row>
    <row r="60" spans="1:13" x14ac:dyDescent="0.25">
      <c r="A60" s="4">
        <v>58</v>
      </c>
      <c r="B60" s="4">
        <v>58</v>
      </c>
      <c r="C60" s="4" t="s">
        <v>16</v>
      </c>
      <c r="D60" s="4" t="s">
        <v>129</v>
      </c>
      <c r="E60" s="4" t="s">
        <v>130</v>
      </c>
      <c r="F60" s="6">
        <v>9.0277777777777776E-2</v>
      </c>
      <c r="G60" s="7">
        <v>4093.4</v>
      </c>
      <c r="H60" s="7">
        <v>3950</v>
      </c>
      <c r="I60" s="8">
        <f t="shared" si="1"/>
        <v>143.40000000000009</v>
      </c>
      <c r="J60" s="5">
        <v>1238.48</v>
      </c>
      <c r="K60" s="5">
        <v>1353.3</v>
      </c>
      <c r="L60" s="5">
        <v>1243.8399999999999</v>
      </c>
      <c r="M60" s="5">
        <f t="shared" si="2"/>
        <v>3835.62</v>
      </c>
    </row>
    <row r="61" spans="1:13" x14ac:dyDescent="0.25">
      <c r="A61" s="4">
        <v>59</v>
      </c>
      <c r="B61" s="4">
        <v>59</v>
      </c>
      <c r="C61" s="4" t="s">
        <v>13</v>
      </c>
      <c r="D61" s="4" t="s">
        <v>131</v>
      </c>
      <c r="E61" s="4" t="s">
        <v>132</v>
      </c>
      <c r="F61" s="6">
        <v>6.5972222222222224E-2</v>
      </c>
      <c r="G61" s="7">
        <v>3702.2</v>
      </c>
      <c r="H61" s="7">
        <v>3567.84</v>
      </c>
      <c r="I61" s="8">
        <f t="shared" si="1"/>
        <v>134.35999999999967</v>
      </c>
      <c r="J61" s="5">
        <v>1226.83</v>
      </c>
      <c r="K61" s="5">
        <v>1199.78</v>
      </c>
      <c r="L61" s="5">
        <v>1136.5999999999999</v>
      </c>
      <c r="M61" s="5">
        <f t="shared" si="2"/>
        <v>3563.2099999999996</v>
      </c>
    </row>
    <row r="62" spans="1:13" x14ac:dyDescent="0.25">
      <c r="A62" s="4">
        <v>60</v>
      </c>
      <c r="B62" s="4">
        <v>60</v>
      </c>
      <c r="C62" s="4" t="s">
        <v>16</v>
      </c>
      <c r="D62" s="4" t="s">
        <v>133</v>
      </c>
      <c r="E62" s="4" t="s">
        <v>134</v>
      </c>
      <c r="F62" s="6">
        <v>5.5555555555555552E-2</v>
      </c>
      <c r="G62" s="7">
        <v>3835.5</v>
      </c>
      <c r="H62" s="7">
        <v>3667.54</v>
      </c>
      <c r="I62" s="8">
        <f t="shared" si="1"/>
        <v>167.96000000000004</v>
      </c>
      <c r="J62" s="5">
        <v>1128.33</v>
      </c>
      <c r="K62" s="5">
        <v>1265.6300000000001</v>
      </c>
      <c r="L62" s="5">
        <v>1265.81</v>
      </c>
      <c r="M62" s="5">
        <f t="shared" si="2"/>
        <v>3659.77</v>
      </c>
    </row>
    <row r="63" spans="1:13" x14ac:dyDescent="0.25">
      <c r="A63" s="4">
        <v>61</v>
      </c>
      <c r="B63" s="4">
        <v>61</v>
      </c>
      <c r="C63" s="4" t="s">
        <v>16</v>
      </c>
      <c r="D63" s="4" t="s">
        <v>135</v>
      </c>
      <c r="E63" s="4" t="s">
        <v>136</v>
      </c>
      <c r="F63" s="6">
        <v>5.5555555555555552E-2</v>
      </c>
      <c r="G63" s="7">
        <v>4119.6000000000004</v>
      </c>
      <c r="H63" s="7">
        <v>3914.48</v>
      </c>
      <c r="I63" s="8">
        <f t="shared" si="1"/>
        <v>205.12000000000035</v>
      </c>
      <c r="J63" s="5">
        <v>1328.22</v>
      </c>
      <c r="K63" s="5">
        <v>1265.1099999999999</v>
      </c>
      <c r="L63" s="5">
        <v>1331.55</v>
      </c>
      <c r="M63" s="5">
        <f t="shared" si="2"/>
        <v>3924.88</v>
      </c>
    </row>
    <row r="64" spans="1:13" x14ac:dyDescent="0.25">
      <c r="A64" s="4">
        <v>62</v>
      </c>
      <c r="B64" s="4">
        <v>62</v>
      </c>
      <c r="C64" s="4" t="s">
        <v>13</v>
      </c>
      <c r="D64" s="4" t="s">
        <v>137</v>
      </c>
      <c r="E64" s="4" t="s">
        <v>138</v>
      </c>
      <c r="F64" s="6">
        <v>7.9861111111111105E-2</v>
      </c>
      <c r="G64" s="7">
        <v>3566.6</v>
      </c>
      <c r="H64" s="7">
        <v>3418.88</v>
      </c>
      <c r="I64" s="8">
        <f t="shared" si="1"/>
        <v>147.7199999999998</v>
      </c>
      <c r="J64" s="5">
        <v>1127.99</v>
      </c>
      <c r="K64" s="5">
        <v>1195.6600000000001</v>
      </c>
      <c r="L64" s="5">
        <v>1133.5</v>
      </c>
      <c r="M64" s="5">
        <f t="shared" si="2"/>
        <v>3457.15</v>
      </c>
    </row>
    <row r="65" spans="1:13" x14ac:dyDescent="0.25">
      <c r="A65" s="4">
        <v>63</v>
      </c>
      <c r="B65" s="4">
        <v>63</v>
      </c>
      <c r="C65" s="4" t="s">
        <v>16</v>
      </c>
      <c r="D65" s="4" t="s">
        <v>139</v>
      </c>
      <c r="E65" s="4" t="s">
        <v>140</v>
      </c>
      <c r="F65" s="6">
        <v>7.9861111111111105E-2</v>
      </c>
      <c r="G65" s="7">
        <v>4032.6</v>
      </c>
      <c r="H65" s="7">
        <v>3770.12</v>
      </c>
      <c r="I65" s="8">
        <f t="shared" si="1"/>
        <v>262.48</v>
      </c>
      <c r="J65" s="5">
        <v>1182.42</v>
      </c>
      <c r="K65" s="5">
        <v>1383.57</v>
      </c>
      <c r="L65" s="5">
        <v>1264.3699999999999</v>
      </c>
      <c r="M65" s="5">
        <f t="shared" si="2"/>
        <v>3830.3599999999997</v>
      </c>
    </row>
    <row r="66" spans="1:13" x14ac:dyDescent="0.25">
      <c r="A66" s="4">
        <v>64</v>
      </c>
      <c r="B66" s="4">
        <v>64</v>
      </c>
      <c r="C66" s="4" t="s">
        <v>13</v>
      </c>
      <c r="D66" s="4" t="s">
        <v>141</v>
      </c>
      <c r="E66" s="4" t="s">
        <v>142</v>
      </c>
      <c r="F66" s="6">
        <v>6.5972222222222224E-2</v>
      </c>
      <c r="G66" s="7">
        <v>3566.6</v>
      </c>
      <c r="H66" s="7">
        <v>3395.28</v>
      </c>
      <c r="I66" s="8">
        <f t="shared" si="1"/>
        <v>171.31999999999971</v>
      </c>
      <c r="J66" s="5">
        <v>1066.3599999999999</v>
      </c>
      <c r="K66" s="5">
        <v>1256.2</v>
      </c>
      <c r="L66" s="5">
        <v>1129.3399999999999</v>
      </c>
      <c r="M66" s="5">
        <f t="shared" si="2"/>
        <v>3451.8999999999996</v>
      </c>
    </row>
    <row r="67" spans="1:13" x14ac:dyDescent="0.25">
      <c r="A67" s="4">
        <v>65</v>
      </c>
      <c r="B67" s="4">
        <v>65</v>
      </c>
      <c r="C67" s="4" t="s">
        <v>16</v>
      </c>
      <c r="D67" s="4" t="s">
        <v>143</v>
      </c>
      <c r="E67" s="4" t="s">
        <v>144</v>
      </c>
      <c r="F67" s="6">
        <v>9.0277777777777776E-2</v>
      </c>
      <c r="G67" s="7">
        <v>3753.7</v>
      </c>
      <c r="H67" s="7">
        <v>3569.65</v>
      </c>
      <c r="I67" s="8">
        <f t="shared" si="1"/>
        <v>184.04999999999973</v>
      </c>
      <c r="J67" s="5">
        <v>1321.89</v>
      </c>
      <c r="K67" s="5">
        <v>866.96</v>
      </c>
      <c r="L67" s="5">
        <v>1390.8</v>
      </c>
      <c r="M67" s="5">
        <f t="shared" si="2"/>
        <v>3579.6500000000005</v>
      </c>
    </row>
    <row r="68" spans="1:13" x14ac:dyDescent="0.25">
      <c r="A68" s="4">
        <v>66</v>
      </c>
      <c r="B68" s="4">
        <v>66</v>
      </c>
      <c r="C68" s="4" t="s">
        <v>16</v>
      </c>
      <c r="D68" s="4" t="s">
        <v>145</v>
      </c>
      <c r="E68" s="4" t="s">
        <v>146</v>
      </c>
      <c r="F68" s="6">
        <v>8.3333333333333329E-2</v>
      </c>
      <c r="G68" s="7">
        <v>4107.5</v>
      </c>
      <c r="H68" s="7">
        <v>3906.95</v>
      </c>
      <c r="I68" s="8">
        <f t="shared" ref="I68:I131" si="3">G68-H68</f>
        <v>200.55000000000018</v>
      </c>
      <c r="J68" s="5">
        <v>1258.1300000000001</v>
      </c>
      <c r="K68" s="5">
        <v>1328.33</v>
      </c>
      <c r="L68" s="5">
        <v>1327.07</v>
      </c>
      <c r="M68" s="5">
        <f t="shared" si="2"/>
        <v>3913.5299999999997</v>
      </c>
    </row>
    <row r="69" spans="1:13" x14ac:dyDescent="0.25">
      <c r="A69" s="4">
        <v>67</v>
      </c>
      <c r="B69" s="4">
        <v>67</v>
      </c>
      <c r="C69" s="4" t="s">
        <v>16</v>
      </c>
      <c r="D69" s="4" t="s">
        <v>147</v>
      </c>
      <c r="E69" s="4" t="s">
        <v>148</v>
      </c>
      <c r="F69" s="6">
        <v>5.5555555555555552E-2</v>
      </c>
      <c r="G69" s="7">
        <v>4171.3</v>
      </c>
      <c r="H69" s="7">
        <v>4012.65</v>
      </c>
      <c r="I69" s="8">
        <f t="shared" si="3"/>
        <v>158.65000000000009</v>
      </c>
      <c r="J69" s="5">
        <v>1333.99</v>
      </c>
      <c r="K69" s="5">
        <v>1338.72</v>
      </c>
      <c r="L69" s="5">
        <v>1262.7</v>
      </c>
      <c r="M69" s="5">
        <f t="shared" si="2"/>
        <v>3935.41</v>
      </c>
    </row>
    <row r="70" spans="1:13" x14ac:dyDescent="0.25">
      <c r="A70" s="4">
        <v>68</v>
      </c>
      <c r="B70" s="4">
        <v>68</v>
      </c>
      <c r="C70" s="4" t="s">
        <v>16</v>
      </c>
      <c r="D70" s="4" t="s">
        <v>149</v>
      </c>
      <c r="E70" s="4" t="s">
        <v>150</v>
      </c>
      <c r="F70" s="6">
        <v>7.6388888888888895E-2</v>
      </c>
      <c r="G70" s="7">
        <v>3958.8</v>
      </c>
      <c r="H70" s="7">
        <v>3816.6</v>
      </c>
      <c r="I70" s="8">
        <f t="shared" si="3"/>
        <v>142.20000000000027</v>
      </c>
      <c r="J70" s="5">
        <v>1061.18</v>
      </c>
      <c r="K70" s="5">
        <v>1384.4</v>
      </c>
      <c r="L70" s="5">
        <v>1322.21</v>
      </c>
      <c r="M70" s="5">
        <f t="shared" si="2"/>
        <v>3767.79</v>
      </c>
    </row>
    <row r="71" spans="1:13" x14ac:dyDescent="0.25">
      <c r="A71" s="4">
        <v>69</v>
      </c>
      <c r="B71" s="4">
        <v>69</v>
      </c>
      <c r="C71" s="4" t="s">
        <v>13</v>
      </c>
      <c r="D71" s="4" t="s">
        <v>151</v>
      </c>
      <c r="E71" s="4" t="s">
        <v>152</v>
      </c>
      <c r="F71" s="6">
        <v>0.10069444444444443</v>
      </c>
      <c r="G71" s="7">
        <v>3696.6</v>
      </c>
      <c r="H71" s="7">
        <v>3558.86</v>
      </c>
      <c r="I71" s="8">
        <f t="shared" si="3"/>
        <v>137.73999999999978</v>
      </c>
      <c r="J71" s="5">
        <v>1006.93</v>
      </c>
      <c r="K71" s="5">
        <v>1257.3800000000001</v>
      </c>
      <c r="L71" s="5">
        <v>1322.79</v>
      </c>
      <c r="M71" s="5">
        <f t="shared" si="2"/>
        <v>3587.1</v>
      </c>
    </row>
    <row r="72" spans="1:13" x14ac:dyDescent="0.25">
      <c r="A72" s="4">
        <v>70</v>
      </c>
      <c r="B72" s="4">
        <v>70</v>
      </c>
      <c r="C72" s="4" t="s">
        <v>16</v>
      </c>
      <c r="D72" s="4" t="s">
        <v>153</v>
      </c>
      <c r="E72" s="4" t="s">
        <v>154</v>
      </c>
      <c r="F72" s="6">
        <v>7.6388888888888895E-2</v>
      </c>
      <c r="G72" s="7">
        <v>3900</v>
      </c>
      <c r="H72" s="7">
        <v>3685.49</v>
      </c>
      <c r="I72" s="8">
        <f t="shared" si="3"/>
        <v>214.51000000000022</v>
      </c>
      <c r="J72" s="5">
        <v>1055.93</v>
      </c>
      <c r="K72" s="5">
        <v>1255.3399999999999</v>
      </c>
      <c r="L72" s="5">
        <v>1395.26</v>
      </c>
      <c r="M72" s="5">
        <f t="shared" si="2"/>
        <v>3706.5299999999997</v>
      </c>
    </row>
    <row r="73" spans="1:13" x14ac:dyDescent="0.25">
      <c r="A73" s="4">
        <v>71</v>
      </c>
      <c r="B73" s="4">
        <v>71</v>
      </c>
      <c r="C73" s="4" t="s">
        <v>16</v>
      </c>
      <c r="D73" s="4" t="s">
        <v>155</v>
      </c>
      <c r="E73" s="4" t="s">
        <v>156</v>
      </c>
      <c r="F73" s="6">
        <v>0.14583333333333334</v>
      </c>
      <c r="G73" s="7">
        <v>4057.4</v>
      </c>
      <c r="H73" s="7">
        <v>3891.87</v>
      </c>
      <c r="I73" s="8">
        <f t="shared" si="3"/>
        <v>165.5300000000002</v>
      </c>
      <c r="J73" s="5">
        <v>532.14</v>
      </c>
      <c r="K73" s="5">
        <v>1723.72</v>
      </c>
      <c r="L73" s="5">
        <v>1598.63</v>
      </c>
      <c r="M73" s="5">
        <f t="shared" si="2"/>
        <v>3854.4900000000002</v>
      </c>
    </row>
    <row r="74" spans="1:13" x14ac:dyDescent="0.25">
      <c r="A74" s="4">
        <v>72</v>
      </c>
      <c r="B74" s="4">
        <v>72</v>
      </c>
      <c r="C74" s="4" t="s">
        <v>13</v>
      </c>
      <c r="D74" s="4" t="s">
        <v>157</v>
      </c>
      <c r="E74" s="4" t="s">
        <v>158</v>
      </c>
      <c r="F74" s="6">
        <v>0.15625</v>
      </c>
      <c r="G74" s="7">
        <v>3826.6</v>
      </c>
      <c r="H74" s="7">
        <v>3630.84</v>
      </c>
      <c r="I74" s="8">
        <f t="shared" si="3"/>
        <v>195.75999999999976</v>
      </c>
      <c r="J74" s="5">
        <v>1377.76</v>
      </c>
      <c r="K74" s="5">
        <v>1006.5</v>
      </c>
      <c r="L74" s="5">
        <v>1318.85</v>
      </c>
      <c r="M74" s="5">
        <f t="shared" si="2"/>
        <v>3703.11</v>
      </c>
    </row>
    <row r="75" spans="1:13" x14ac:dyDescent="0.25">
      <c r="A75" s="4">
        <v>73</v>
      </c>
      <c r="B75" s="4">
        <v>73</v>
      </c>
      <c r="C75" s="4" t="s">
        <v>16</v>
      </c>
      <c r="D75" s="4" t="s">
        <v>159</v>
      </c>
      <c r="E75" s="4" t="s">
        <v>160</v>
      </c>
      <c r="F75" s="6">
        <v>6.25E-2</v>
      </c>
      <c r="G75" s="7">
        <v>4100.6000000000004</v>
      </c>
      <c r="H75" s="7">
        <v>3890.1</v>
      </c>
      <c r="I75" s="8">
        <f t="shared" si="3"/>
        <v>210.50000000000045</v>
      </c>
      <c r="J75" s="5">
        <v>836.83</v>
      </c>
      <c r="K75" s="5">
        <v>1482.65</v>
      </c>
      <c r="L75" s="5">
        <v>1418.61</v>
      </c>
      <c r="M75" s="5">
        <f t="shared" si="2"/>
        <v>3738.09</v>
      </c>
    </row>
    <row r="76" spans="1:13" x14ac:dyDescent="0.25">
      <c r="A76" s="4">
        <v>74</v>
      </c>
      <c r="B76" s="4">
        <v>74</v>
      </c>
      <c r="C76" s="4" t="s">
        <v>13</v>
      </c>
      <c r="D76" s="4" t="s">
        <v>161</v>
      </c>
      <c r="E76" s="4" t="s">
        <v>162</v>
      </c>
      <c r="F76" s="6">
        <v>3.4722222222222224E-2</v>
      </c>
      <c r="G76" s="7">
        <v>3569.4</v>
      </c>
      <c r="H76" s="7">
        <v>3457.17</v>
      </c>
      <c r="I76" s="8">
        <f t="shared" si="3"/>
        <v>112.23000000000002</v>
      </c>
      <c r="J76" s="5">
        <v>1001.82</v>
      </c>
      <c r="K76" s="5">
        <v>1256.4100000000001</v>
      </c>
      <c r="L76" s="5">
        <v>1197.48</v>
      </c>
      <c r="M76" s="5">
        <f t="shared" si="2"/>
        <v>3455.71</v>
      </c>
    </row>
    <row r="77" spans="1:13" x14ac:dyDescent="0.25">
      <c r="A77" s="4">
        <v>75</v>
      </c>
      <c r="B77" s="4">
        <v>75</v>
      </c>
      <c r="C77" s="4" t="s">
        <v>16</v>
      </c>
      <c r="D77" s="4" t="s">
        <v>163</v>
      </c>
      <c r="E77" s="4" t="s">
        <v>164</v>
      </c>
      <c r="F77" s="6">
        <v>0.1388888888888889</v>
      </c>
      <c r="G77" s="7">
        <v>4019.7</v>
      </c>
      <c r="H77" s="7">
        <v>3777.92</v>
      </c>
      <c r="I77" s="8">
        <f t="shared" si="3"/>
        <v>241.77999999999975</v>
      </c>
      <c r="J77" s="5">
        <v>1183.27</v>
      </c>
      <c r="K77" s="5">
        <v>1308.03</v>
      </c>
      <c r="L77" s="5">
        <v>1325.17</v>
      </c>
      <c r="M77" s="5">
        <f t="shared" si="2"/>
        <v>3816.4700000000003</v>
      </c>
    </row>
    <row r="78" spans="1:13" x14ac:dyDescent="0.25">
      <c r="A78" s="4">
        <v>76</v>
      </c>
      <c r="B78" s="4">
        <v>76</v>
      </c>
      <c r="C78" s="4" t="s">
        <v>13</v>
      </c>
      <c r="D78" s="4" t="s">
        <v>165</v>
      </c>
      <c r="E78" s="4" t="s">
        <v>166</v>
      </c>
      <c r="F78" s="6">
        <v>0.125</v>
      </c>
      <c r="G78" s="7">
        <v>3561</v>
      </c>
      <c r="H78" s="7">
        <v>3389.51</v>
      </c>
      <c r="I78" s="8">
        <f t="shared" si="3"/>
        <v>171.48999999999978</v>
      </c>
      <c r="J78" s="5">
        <v>1062.3</v>
      </c>
      <c r="K78" s="5">
        <v>1249.4100000000001</v>
      </c>
      <c r="L78" s="5">
        <v>1130.7</v>
      </c>
      <c r="M78" s="5">
        <f t="shared" si="2"/>
        <v>3442.41</v>
      </c>
    </row>
    <row r="79" spans="1:13" x14ac:dyDescent="0.25">
      <c r="A79" s="4">
        <v>77</v>
      </c>
      <c r="B79" s="4">
        <v>77</v>
      </c>
      <c r="C79" s="4" t="s">
        <v>16</v>
      </c>
      <c r="D79" s="4" t="s">
        <v>167</v>
      </c>
      <c r="E79" s="4" t="s">
        <v>168</v>
      </c>
      <c r="F79" s="6">
        <v>8.3333333333333329E-2</v>
      </c>
      <c r="G79" s="7">
        <v>3985.4</v>
      </c>
      <c r="H79" s="7">
        <v>3794.94</v>
      </c>
      <c r="I79" s="8">
        <f t="shared" si="3"/>
        <v>190.46000000000004</v>
      </c>
      <c r="J79" s="5">
        <v>1334.75</v>
      </c>
      <c r="K79" s="5">
        <v>1201.1500000000001</v>
      </c>
      <c r="L79" s="5">
        <v>1266.8399999999999</v>
      </c>
      <c r="M79" s="5">
        <f t="shared" si="2"/>
        <v>3802.74</v>
      </c>
    </row>
    <row r="80" spans="1:13" x14ac:dyDescent="0.25">
      <c r="A80" s="4">
        <v>78</v>
      </c>
      <c r="B80" s="4">
        <v>78</v>
      </c>
      <c r="C80" s="4" t="s">
        <v>13</v>
      </c>
      <c r="D80" s="4" t="s">
        <v>169</v>
      </c>
      <c r="E80" s="4" t="s">
        <v>170</v>
      </c>
      <c r="F80" s="6">
        <v>7.9861111111111105E-2</v>
      </c>
      <c r="G80" s="7">
        <v>3637.2</v>
      </c>
      <c r="H80" s="7">
        <v>3497</v>
      </c>
      <c r="I80" s="8">
        <f t="shared" si="3"/>
        <v>140.19999999999982</v>
      </c>
      <c r="J80" s="5">
        <v>1190.43</v>
      </c>
      <c r="K80" s="5">
        <v>1131.97</v>
      </c>
      <c r="L80" s="5">
        <v>1259.26</v>
      </c>
      <c r="M80" s="5">
        <f t="shared" ref="M80:M143" si="4">J80+K80+L80</f>
        <v>3581.66</v>
      </c>
    </row>
    <row r="81" spans="1:13" x14ac:dyDescent="0.25">
      <c r="A81" s="4">
        <v>79</v>
      </c>
      <c r="B81" s="4">
        <v>79</v>
      </c>
      <c r="C81" s="4" t="s">
        <v>16</v>
      </c>
      <c r="D81" s="4" t="s">
        <v>171</v>
      </c>
      <c r="E81" s="4" t="s">
        <v>172</v>
      </c>
      <c r="F81" s="6">
        <v>0.10416666666666667</v>
      </c>
      <c r="G81" s="7">
        <v>4126</v>
      </c>
      <c r="H81" s="7">
        <v>3986</v>
      </c>
      <c r="I81" s="8">
        <f t="shared" si="3"/>
        <v>140</v>
      </c>
      <c r="J81" s="5">
        <v>1667.21</v>
      </c>
      <c r="K81" s="5">
        <v>665.4</v>
      </c>
      <c r="L81" s="5">
        <v>1668.92</v>
      </c>
      <c r="M81" s="5">
        <f t="shared" si="4"/>
        <v>4001.53</v>
      </c>
    </row>
    <row r="82" spans="1:13" x14ac:dyDescent="0.25">
      <c r="A82" s="4">
        <v>80</v>
      </c>
      <c r="B82" s="4">
        <v>80</v>
      </c>
      <c r="C82" s="4" t="s">
        <v>13</v>
      </c>
      <c r="D82" s="4" t="s">
        <v>173</v>
      </c>
      <c r="E82" s="4" t="s">
        <v>174</v>
      </c>
      <c r="F82" s="6">
        <v>3.4722222222222224E-2</v>
      </c>
      <c r="G82" s="7">
        <v>3425.4</v>
      </c>
      <c r="H82" s="7">
        <v>3238.34</v>
      </c>
      <c r="I82" s="8">
        <f t="shared" si="3"/>
        <v>187.05999999999995</v>
      </c>
      <c r="J82" s="5">
        <v>1129.28</v>
      </c>
      <c r="K82" s="5">
        <v>1121.82</v>
      </c>
      <c r="L82" s="5">
        <v>1068.45</v>
      </c>
      <c r="M82" s="5">
        <f t="shared" si="4"/>
        <v>3319.55</v>
      </c>
    </row>
    <row r="83" spans="1:13" x14ac:dyDescent="0.25">
      <c r="A83" s="4">
        <v>81</v>
      </c>
      <c r="B83" s="4">
        <v>81</v>
      </c>
      <c r="C83" s="4" t="s">
        <v>13</v>
      </c>
      <c r="D83" s="4" t="s">
        <v>175</v>
      </c>
      <c r="E83" s="4" t="s">
        <v>176</v>
      </c>
      <c r="F83" s="6">
        <v>7.2916666666666671E-2</v>
      </c>
      <c r="G83" s="7">
        <v>3761.6</v>
      </c>
      <c r="H83" s="7">
        <v>3621.6</v>
      </c>
      <c r="I83" s="8">
        <f t="shared" si="3"/>
        <v>140</v>
      </c>
      <c r="J83" s="5">
        <v>1128.9100000000001</v>
      </c>
      <c r="K83" s="5">
        <v>1313.64</v>
      </c>
      <c r="L83" s="5">
        <v>1195.3499999999999</v>
      </c>
      <c r="M83" s="5">
        <f>J83+K83+L83</f>
        <v>3637.9</v>
      </c>
    </row>
    <row r="84" spans="1:13" x14ac:dyDescent="0.25">
      <c r="A84" s="4">
        <v>82</v>
      </c>
      <c r="B84" s="4">
        <v>82</v>
      </c>
      <c r="C84" s="4" t="s">
        <v>16</v>
      </c>
      <c r="D84" s="4" t="s">
        <v>177</v>
      </c>
      <c r="E84" s="4" t="s">
        <v>178</v>
      </c>
      <c r="F84" s="6">
        <v>7.9861111111111105E-2</v>
      </c>
      <c r="G84" s="7">
        <v>3975.8</v>
      </c>
      <c r="H84" s="7">
        <v>3817.95</v>
      </c>
      <c r="I84" s="8">
        <f t="shared" si="3"/>
        <v>157.85000000000036</v>
      </c>
      <c r="J84" s="5">
        <v>1198.81</v>
      </c>
      <c r="K84" s="5">
        <v>1336.37</v>
      </c>
      <c r="L84" s="5">
        <v>1260.51</v>
      </c>
      <c r="M84" s="5">
        <f>J84+K84+L84</f>
        <v>3795.6899999999996</v>
      </c>
    </row>
    <row r="85" spans="1:13" x14ac:dyDescent="0.25">
      <c r="A85" s="4">
        <v>83</v>
      </c>
      <c r="B85" s="4">
        <v>83</v>
      </c>
      <c r="C85" s="4" t="s">
        <v>13</v>
      </c>
      <c r="D85" s="4" t="s">
        <v>179</v>
      </c>
      <c r="E85" s="4" t="s">
        <v>180</v>
      </c>
      <c r="F85" s="6">
        <v>7.6388888888888895E-2</v>
      </c>
      <c r="G85" s="7">
        <v>3696.6</v>
      </c>
      <c r="H85" s="7">
        <v>3550.46</v>
      </c>
      <c r="I85" s="8">
        <f t="shared" si="3"/>
        <v>146.13999999999987</v>
      </c>
      <c r="J85" s="5">
        <v>1256.6300000000001</v>
      </c>
      <c r="K85" s="5">
        <v>1198.77</v>
      </c>
      <c r="L85" s="5">
        <v>1130.01</v>
      </c>
      <c r="M85" s="5">
        <f t="shared" si="4"/>
        <v>3585.41</v>
      </c>
    </row>
    <row r="86" spans="1:13" x14ac:dyDescent="0.25">
      <c r="A86" s="4">
        <v>84</v>
      </c>
      <c r="B86" s="4">
        <v>84</v>
      </c>
      <c r="C86" s="4" t="s">
        <v>16</v>
      </c>
      <c r="D86" s="4" t="s">
        <v>181</v>
      </c>
      <c r="E86" s="4" t="s">
        <v>182</v>
      </c>
      <c r="F86" s="6">
        <v>4.1666666666666664E-2</v>
      </c>
      <c r="G86" s="7">
        <v>4113.1000000000004</v>
      </c>
      <c r="H86" s="7">
        <v>3908.08</v>
      </c>
      <c r="I86" s="8">
        <f t="shared" si="3"/>
        <v>205.02000000000044</v>
      </c>
      <c r="J86" s="5">
        <v>1328.04</v>
      </c>
      <c r="K86" s="5">
        <v>1336.81</v>
      </c>
      <c r="L86" s="5">
        <v>1258.0899999999999</v>
      </c>
      <c r="M86" s="5">
        <f t="shared" si="4"/>
        <v>3922.9399999999996</v>
      </c>
    </row>
    <row r="87" spans="1:13" x14ac:dyDescent="0.25">
      <c r="A87" s="4">
        <v>85</v>
      </c>
      <c r="B87" s="4">
        <v>85</v>
      </c>
      <c r="C87" s="4" t="s">
        <v>16</v>
      </c>
      <c r="D87" s="4" t="s">
        <v>183</v>
      </c>
      <c r="E87" s="4" t="s">
        <v>184</v>
      </c>
      <c r="F87" s="6">
        <v>8.3333333333333329E-2</v>
      </c>
      <c r="G87" s="7">
        <v>4054</v>
      </c>
      <c r="H87" s="7">
        <v>3900.21</v>
      </c>
      <c r="I87" s="8">
        <f t="shared" si="3"/>
        <v>153.78999999999996</v>
      </c>
      <c r="J87" s="5">
        <v>1397.58</v>
      </c>
      <c r="K87" s="5">
        <v>1201.78</v>
      </c>
      <c r="L87" s="5">
        <v>1267.96</v>
      </c>
      <c r="M87" s="5">
        <f t="shared" si="4"/>
        <v>3867.3199999999997</v>
      </c>
    </row>
    <row r="88" spans="1:13" x14ac:dyDescent="0.25">
      <c r="A88" s="4">
        <v>86</v>
      </c>
      <c r="B88" s="4">
        <v>86</v>
      </c>
      <c r="C88" s="4" t="s">
        <v>13</v>
      </c>
      <c r="D88" s="4" t="s">
        <v>185</v>
      </c>
      <c r="E88" s="4" t="s">
        <v>186</v>
      </c>
      <c r="F88" s="6">
        <v>8.3333333333333329E-2</v>
      </c>
      <c r="G88" s="7">
        <v>3826.6</v>
      </c>
      <c r="H88" s="7">
        <v>3644.64</v>
      </c>
      <c r="I88" s="8">
        <f t="shared" si="3"/>
        <v>181.96000000000004</v>
      </c>
      <c r="J88" s="5">
        <v>1255.6600000000001</v>
      </c>
      <c r="K88" s="5">
        <v>1191.01</v>
      </c>
      <c r="L88" s="5">
        <v>1259.42</v>
      </c>
      <c r="M88" s="5">
        <f t="shared" si="4"/>
        <v>3706.09</v>
      </c>
    </row>
    <row r="89" spans="1:13" x14ac:dyDescent="0.25">
      <c r="A89" s="4">
        <v>87</v>
      </c>
      <c r="B89" s="4">
        <v>87</v>
      </c>
      <c r="C89" s="4" t="s">
        <v>13</v>
      </c>
      <c r="D89" s="4" t="s">
        <v>187</v>
      </c>
      <c r="E89" s="4" t="s">
        <v>188</v>
      </c>
      <c r="F89" s="6">
        <v>8.3333333333333329E-2</v>
      </c>
      <c r="G89" s="7">
        <v>3501.6</v>
      </c>
      <c r="H89" s="7">
        <v>3375.29</v>
      </c>
      <c r="I89" s="8">
        <f t="shared" si="3"/>
        <v>126.30999999999995</v>
      </c>
      <c r="J89" s="5">
        <v>1130.58</v>
      </c>
      <c r="K89" s="5">
        <v>1136.05</v>
      </c>
      <c r="L89" s="5">
        <v>1132.78</v>
      </c>
      <c r="M89" s="5">
        <f t="shared" si="4"/>
        <v>3399.41</v>
      </c>
    </row>
    <row r="90" spans="1:13" x14ac:dyDescent="0.25">
      <c r="A90" s="4">
        <v>88</v>
      </c>
      <c r="B90" s="4">
        <v>88</v>
      </c>
      <c r="C90" s="4" t="s">
        <v>16</v>
      </c>
      <c r="D90" s="4" t="s">
        <v>189</v>
      </c>
      <c r="E90" s="4" t="s">
        <v>190</v>
      </c>
      <c r="F90" s="6">
        <v>7.6388888888888895E-2</v>
      </c>
      <c r="G90" s="7">
        <v>3747</v>
      </c>
      <c r="H90" s="7">
        <v>3568.54</v>
      </c>
      <c r="I90" s="8">
        <f t="shared" si="3"/>
        <v>178.46000000000004</v>
      </c>
      <c r="J90" s="5">
        <v>1190.05</v>
      </c>
      <c r="K90" s="5">
        <v>1204.25</v>
      </c>
      <c r="L90" s="5">
        <v>1180.2</v>
      </c>
      <c r="M90" s="5">
        <f t="shared" si="4"/>
        <v>3574.5</v>
      </c>
    </row>
    <row r="91" spans="1:13" x14ac:dyDescent="0.25">
      <c r="A91" s="4">
        <v>89</v>
      </c>
      <c r="B91" s="4">
        <v>89</v>
      </c>
      <c r="C91" s="4" t="s">
        <v>16</v>
      </c>
      <c r="D91" s="4" t="s">
        <v>191</v>
      </c>
      <c r="E91" s="4" t="s">
        <v>192</v>
      </c>
      <c r="F91" s="6">
        <v>8.3333333333333329E-2</v>
      </c>
      <c r="G91" s="7">
        <v>4030</v>
      </c>
      <c r="H91" s="7">
        <v>3751.95</v>
      </c>
      <c r="I91" s="8">
        <f t="shared" si="3"/>
        <v>278.05000000000018</v>
      </c>
      <c r="J91" s="5">
        <v>1300.77</v>
      </c>
      <c r="K91" s="5">
        <v>1177.6500000000001</v>
      </c>
      <c r="L91" s="5">
        <v>1228.6500000000001</v>
      </c>
      <c r="M91" s="5">
        <f t="shared" si="4"/>
        <v>3707.07</v>
      </c>
    </row>
    <row r="92" spans="1:13" x14ac:dyDescent="0.25">
      <c r="A92" s="4">
        <v>90</v>
      </c>
      <c r="B92" s="4">
        <v>90</v>
      </c>
      <c r="C92" s="4" t="s">
        <v>13</v>
      </c>
      <c r="D92" s="4" t="s">
        <v>193</v>
      </c>
      <c r="E92" s="4" t="s">
        <v>194</v>
      </c>
      <c r="F92" s="6">
        <v>8.3333333333333329E-2</v>
      </c>
      <c r="G92" s="7">
        <v>3758.8</v>
      </c>
      <c r="H92" s="7">
        <v>3600.06</v>
      </c>
      <c r="I92" s="8">
        <f t="shared" si="3"/>
        <v>158.74000000000024</v>
      </c>
      <c r="J92" s="5">
        <v>1128.29</v>
      </c>
      <c r="K92" s="5">
        <v>1318.51</v>
      </c>
      <c r="L92" s="5">
        <v>1193.4100000000001</v>
      </c>
      <c r="M92" s="5">
        <f t="shared" si="4"/>
        <v>3640.21</v>
      </c>
    </row>
    <row r="93" spans="1:13" x14ac:dyDescent="0.25">
      <c r="A93" s="4">
        <v>91</v>
      </c>
      <c r="B93" s="4">
        <v>91</v>
      </c>
      <c r="C93" s="4" t="s">
        <v>16</v>
      </c>
      <c r="D93" s="4" t="s">
        <v>195</v>
      </c>
      <c r="E93" s="4" t="s">
        <v>196</v>
      </c>
      <c r="F93" s="6">
        <v>4.1666666666666664E-2</v>
      </c>
      <c r="G93" s="7">
        <v>3897.2</v>
      </c>
      <c r="H93" s="7">
        <v>3725.43</v>
      </c>
      <c r="I93" s="8">
        <f t="shared" si="3"/>
        <v>171.76999999999998</v>
      </c>
      <c r="J93" s="5">
        <v>1128.82</v>
      </c>
      <c r="K93" s="5">
        <v>1304.96</v>
      </c>
      <c r="L93" s="5">
        <v>1263.21</v>
      </c>
      <c r="M93" s="5">
        <f t="shared" si="4"/>
        <v>3696.99</v>
      </c>
    </row>
    <row r="94" spans="1:13" x14ac:dyDescent="0.25">
      <c r="A94" s="4">
        <v>92</v>
      </c>
      <c r="B94" s="4">
        <v>92</v>
      </c>
      <c r="C94" s="4" t="s">
        <v>16</v>
      </c>
      <c r="D94" s="4" t="s">
        <v>197</v>
      </c>
      <c r="E94" s="4" t="s">
        <v>198</v>
      </c>
      <c r="F94" s="6">
        <v>3.4722222222222224E-2</v>
      </c>
      <c r="G94" s="7">
        <v>4171.3</v>
      </c>
      <c r="H94" s="7">
        <v>3968.45</v>
      </c>
      <c r="I94" s="8">
        <f t="shared" si="3"/>
        <v>202.85000000000036</v>
      </c>
      <c r="J94" s="5">
        <v>1196.1400000000001</v>
      </c>
      <c r="K94" s="5">
        <v>1274.05</v>
      </c>
      <c r="L94" s="5">
        <v>1325.15</v>
      </c>
      <c r="M94" s="5">
        <f t="shared" si="4"/>
        <v>3795.34</v>
      </c>
    </row>
    <row r="95" spans="1:13" x14ac:dyDescent="0.25">
      <c r="A95" s="4">
        <v>93</v>
      </c>
      <c r="B95" s="4">
        <v>93</v>
      </c>
      <c r="C95" s="4" t="s">
        <v>13</v>
      </c>
      <c r="D95" s="4" t="s">
        <v>199</v>
      </c>
      <c r="E95" s="4" t="s">
        <v>200</v>
      </c>
      <c r="F95" s="6">
        <v>7.9861111111111105E-2</v>
      </c>
      <c r="G95" s="7">
        <v>3575</v>
      </c>
      <c r="H95" s="7">
        <v>3429.26</v>
      </c>
      <c r="I95" s="8">
        <f t="shared" si="3"/>
        <v>145.73999999999978</v>
      </c>
      <c r="J95" s="5">
        <v>1130.6199999999999</v>
      </c>
      <c r="K95" s="5">
        <v>1199.6099999999999</v>
      </c>
      <c r="L95" s="5">
        <v>1133.8399999999999</v>
      </c>
      <c r="M95" s="5">
        <f t="shared" si="4"/>
        <v>3464.0699999999997</v>
      </c>
    </row>
    <row r="96" spans="1:13" x14ac:dyDescent="0.25">
      <c r="A96" s="4">
        <v>94</v>
      </c>
      <c r="B96" s="4">
        <v>94</v>
      </c>
      <c r="C96" s="4" t="s">
        <v>16</v>
      </c>
      <c r="D96" s="4" t="s">
        <v>201</v>
      </c>
      <c r="E96" s="4" t="s">
        <v>202</v>
      </c>
      <c r="F96" s="6">
        <v>8.3333333333333329E-2</v>
      </c>
      <c r="G96" s="7">
        <v>3890.1</v>
      </c>
      <c r="H96" s="7">
        <v>3717.69</v>
      </c>
      <c r="I96" s="8">
        <f t="shared" si="3"/>
        <v>172.40999999999985</v>
      </c>
      <c r="J96" s="5">
        <v>1195.19</v>
      </c>
      <c r="K96" s="5">
        <v>1325.83</v>
      </c>
      <c r="L96" s="5">
        <v>1196.07</v>
      </c>
      <c r="M96" s="5">
        <f t="shared" si="4"/>
        <v>3717.09</v>
      </c>
    </row>
    <row r="97" spans="1:13" x14ac:dyDescent="0.25">
      <c r="A97" s="4">
        <v>95</v>
      </c>
      <c r="B97" s="4">
        <v>95</v>
      </c>
      <c r="C97" s="4" t="s">
        <v>13</v>
      </c>
      <c r="D97" s="4" t="s">
        <v>203</v>
      </c>
      <c r="E97" s="4" t="s">
        <v>204</v>
      </c>
      <c r="F97" s="6">
        <v>7.6388888888888895E-2</v>
      </c>
      <c r="G97" s="7">
        <v>3634.8</v>
      </c>
      <c r="H97" s="7">
        <v>3494.4</v>
      </c>
      <c r="I97" s="8">
        <f t="shared" si="3"/>
        <v>140.40000000000009</v>
      </c>
      <c r="J97" s="5">
        <v>1130.79</v>
      </c>
      <c r="K97" s="5">
        <v>1323.84</v>
      </c>
      <c r="L97" s="5">
        <v>1069.22</v>
      </c>
      <c r="M97" s="5">
        <f t="shared" si="4"/>
        <v>3523.8500000000004</v>
      </c>
    </row>
    <row r="98" spans="1:13" x14ac:dyDescent="0.25">
      <c r="A98" s="4">
        <v>96</v>
      </c>
      <c r="B98" s="4">
        <v>96</v>
      </c>
      <c r="C98" s="4" t="s">
        <v>13</v>
      </c>
      <c r="D98" s="4" t="s">
        <v>205</v>
      </c>
      <c r="E98" s="4" t="s">
        <v>206</v>
      </c>
      <c r="F98" s="6">
        <v>8.3333333333333329E-2</v>
      </c>
      <c r="G98" s="7">
        <v>3770</v>
      </c>
      <c r="H98" s="7">
        <v>3662.02</v>
      </c>
      <c r="I98" s="8">
        <f t="shared" si="3"/>
        <v>107.98000000000002</v>
      </c>
      <c r="J98" s="5">
        <v>1130.25</v>
      </c>
      <c r="K98" s="5">
        <v>1320.93</v>
      </c>
      <c r="L98" s="5">
        <v>1194.1099999999999</v>
      </c>
      <c r="M98" s="5">
        <f t="shared" si="4"/>
        <v>3645.29</v>
      </c>
    </row>
    <row r="99" spans="1:13" x14ac:dyDescent="0.25">
      <c r="A99" s="4">
        <v>97</v>
      </c>
      <c r="B99" s="4">
        <v>97</v>
      </c>
      <c r="C99" s="4" t="s">
        <v>16</v>
      </c>
      <c r="D99" s="4" t="s">
        <v>207</v>
      </c>
      <c r="E99" s="4" t="s">
        <v>208</v>
      </c>
      <c r="F99" s="6">
        <v>7.6388888888888895E-2</v>
      </c>
      <c r="G99" s="7">
        <v>4060.1</v>
      </c>
      <c r="H99" s="7">
        <v>3897.19</v>
      </c>
      <c r="I99" s="8">
        <f t="shared" si="3"/>
        <v>162.90999999999985</v>
      </c>
      <c r="J99" s="5">
        <v>1270.55</v>
      </c>
      <c r="K99" s="5">
        <v>1202.3599999999999</v>
      </c>
      <c r="L99" s="5">
        <v>1400.08</v>
      </c>
      <c r="M99" s="5">
        <f t="shared" si="4"/>
        <v>3872.99</v>
      </c>
    </row>
    <row r="100" spans="1:13" x14ac:dyDescent="0.25">
      <c r="A100" s="4">
        <v>98</v>
      </c>
      <c r="B100" s="4">
        <v>98</v>
      </c>
      <c r="C100" s="4" t="s">
        <v>13</v>
      </c>
      <c r="D100" s="4" t="s">
        <v>209</v>
      </c>
      <c r="E100" s="4" t="s">
        <v>210</v>
      </c>
      <c r="F100" s="6">
        <v>5.5555555555555552E-2</v>
      </c>
      <c r="G100" s="7">
        <v>3377.2</v>
      </c>
      <c r="H100" s="7">
        <v>3260.49</v>
      </c>
      <c r="I100" s="8">
        <f t="shared" si="3"/>
        <v>116.71000000000004</v>
      </c>
      <c r="J100" s="5">
        <v>1190.51</v>
      </c>
      <c r="K100" s="5">
        <v>878.41</v>
      </c>
      <c r="L100" s="5">
        <v>1191.04</v>
      </c>
      <c r="M100" s="5">
        <f t="shared" si="4"/>
        <v>3259.96</v>
      </c>
    </row>
    <row r="101" spans="1:13" x14ac:dyDescent="0.25">
      <c r="A101" s="4">
        <v>99</v>
      </c>
      <c r="B101" s="4">
        <v>99</v>
      </c>
      <c r="C101" s="4" t="s">
        <v>16</v>
      </c>
      <c r="D101" s="4" t="s">
        <v>211</v>
      </c>
      <c r="E101" s="4" t="s">
        <v>212</v>
      </c>
      <c r="F101" s="6">
        <v>0.1111111111111111</v>
      </c>
      <c r="G101" s="7">
        <v>4170.6000000000004</v>
      </c>
      <c r="H101" s="7">
        <v>3895.7</v>
      </c>
      <c r="I101" s="8">
        <f t="shared" si="3"/>
        <v>274.90000000000055</v>
      </c>
      <c r="J101" s="5">
        <v>1335.56</v>
      </c>
      <c r="K101" s="5">
        <v>1403.53</v>
      </c>
      <c r="L101" s="5">
        <v>1081.29</v>
      </c>
      <c r="M101" s="5">
        <f t="shared" si="4"/>
        <v>3820.38</v>
      </c>
    </row>
    <row r="102" spans="1:13" x14ac:dyDescent="0.25">
      <c r="A102" s="4">
        <v>100</v>
      </c>
      <c r="B102" s="4">
        <v>100</v>
      </c>
      <c r="C102" s="4" t="s">
        <v>16</v>
      </c>
      <c r="D102" s="4" t="s">
        <v>213</v>
      </c>
      <c r="E102" s="4" t="s">
        <v>214</v>
      </c>
      <c r="F102" s="6">
        <v>8.3333333333333329E-2</v>
      </c>
      <c r="G102" s="7">
        <v>3745.8</v>
      </c>
      <c r="H102" s="7">
        <v>3514.69</v>
      </c>
      <c r="I102" s="8">
        <f t="shared" si="3"/>
        <v>231.11000000000013</v>
      </c>
      <c r="J102" s="5">
        <v>1126.01</v>
      </c>
      <c r="K102" s="5">
        <v>1253.6300000000001</v>
      </c>
      <c r="L102" s="5">
        <v>1189.8599999999999</v>
      </c>
      <c r="M102" s="5">
        <f t="shared" si="4"/>
        <v>3569.5</v>
      </c>
    </row>
    <row r="103" spans="1:13" x14ac:dyDescent="0.25">
      <c r="A103" s="4">
        <v>101</v>
      </c>
      <c r="B103" s="4">
        <v>101</v>
      </c>
      <c r="C103" s="4" t="s">
        <v>13</v>
      </c>
      <c r="D103" s="4" t="s">
        <v>215</v>
      </c>
      <c r="E103" s="4" t="s">
        <v>216</v>
      </c>
      <c r="F103" s="6">
        <v>8.3333333333333329E-2</v>
      </c>
      <c r="G103" s="7">
        <v>3620.4</v>
      </c>
      <c r="H103" s="7">
        <v>3442.31</v>
      </c>
      <c r="I103" s="8">
        <f t="shared" si="3"/>
        <v>178.09000000000015</v>
      </c>
      <c r="J103" s="5">
        <v>1127.1500000000001</v>
      </c>
      <c r="K103" s="5">
        <v>1128.92</v>
      </c>
      <c r="L103" s="5">
        <v>1255.22</v>
      </c>
      <c r="M103" s="5">
        <f t="shared" si="4"/>
        <v>3511.29</v>
      </c>
    </row>
    <row r="104" spans="1:13" x14ac:dyDescent="0.25">
      <c r="A104" s="4">
        <v>102</v>
      </c>
      <c r="B104" s="4">
        <v>102</v>
      </c>
      <c r="C104" s="4" t="s">
        <v>16</v>
      </c>
      <c r="D104" s="4" t="s">
        <v>217</v>
      </c>
      <c r="E104" s="4" t="s">
        <v>218</v>
      </c>
      <c r="F104" s="6">
        <v>8.3333333333333329E-2</v>
      </c>
      <c r="G104" s="7">
        <v>4081.5</v>
      </c>
      <c r="H104" s="7">
        <v>3868.53</v>
      </c>
      <c r="I104" s="8">
        <f t="shared" si="3"/>
        <v>212.9699999999998</v>
      </c>
      <c r="J104" s="5">
        <v>1244.1400000000001</v>
      </c>
      <c r="K104" s="5">
        <v>1253.2</v>
      </c>
      <c r="L104" s="5">
        <v>1388.87</v>
      </c>
      <c r="M104" s="5">
        <f t="shared" si="4"/>
        <v>3886.21</v>
      </c>
    </row>
    <row r="105" spans="1:13" x14ac:dyDescent="0.25">
      <c r="A105" s="4">
        <v>103</v>
      </c>
      <c r="B105" s="4">
        <v>103</v>
      </c>
      <c r="C105" s="4" t="s">
        <v>16</v>
      </c>
      <c r="D105" s="4" t="s">
        <v>219</v>
      </c>
      <c r="E105" s="4" t="s">
        <v>220</v>
      </c>
      <c r="F105" s="6">
        <v>4.1666666666666664E-2</v>
      </c>
      <c r="G105" s="7">
        <v>3755.8</v>
      </c>
      <c r="H105" s="7">
        <v>3551.99</v>
      </c>
      <c r="I105" s="8">
        <f t="shared" si="3"/>
        <v>203.8100000000004</v>
      </c>
      <c r="J105" s="5">
        <v>1185.82</v>
      </c>
      <c r="K105" s="5">
        <v>1125.79</v>
      </c>
      <c r="L105" s="5">
        <v>1252.1099999999999</v>
      </c>
      <c r="M105" s="5">
        <f t="shared" si="4"/>
        <v>3563.7199999999993</v>
      </c>
    </row>
    <row r="106" spans="1:13" x14ac:dyDescent="0.25">
      <c r="A106" s="4">
        <v>104</v>
      </c>
      <c r="B106" s="4">
        <v>104</v>
      </c>
      <c r="C106" s="4" t="s">
        <v>13</v>
      </c>
      <c r="D106" s="9" t="s">
        <v>221</v>
      </c>
      <c r="E106" s="4" t="s">
        <v>222</v>
      </c>
      <c r="F106" s="6">
        <v>3.4722222222222224E-2</v>
      </c>
      <c r="G106" s="7">
        <v>3676.2</v>
      </c>
      <c r="H106" s="7">
        <v>3586.03</v>
      </c>
      <c r="I106" s="8">
        <f t="shared" si="3"/>
        <v>90.169999999999618</v>
      </c>
      <c r="J106" s="5">
        <v>1192.45</v>
      </c>
      <c r="K106" s="5">
        <v>1192.21</v>
      </c>
      <c r="L106" s="5">
        <v>1250.9100000000001</v>
      </c>
      <c r="M106" s="5">
        <f t="shared" si="4"/>
        <v>3635.5699999999997</v>
      </c>
    </row>
    <row r="107" spans="1:13" x14ac:dyDescent="0.25">
      <c r="A107" s="4">
        <v>105</v>
      </c>
      <c r="B107" s="4">
        <v>105</v>
      </c>
      <c r="C107" s="4" t="s">
        <v>16</v>
      </c>
      <c r="D107" s="9" t="s">
        <v>223</v>
      </c>
      <c r="E107" s="9" t="s">
        <v>224</v>
      </c>
      <c r="F107" s="6">
        <v>9.0277777777777776E-2</v>
      </c>
      <c r="G107" s="7">
        <v>4047.3</v>
      </c>
      <c r="H107" s="7">
        <v>3854.47</v>
      </c>
      <c r="I107" s="8">
        <f t="shared" si="3"/>
        <v>192.83000000000038</v>
      </c>
      <c r="J107" s="5">
        <v>1261.77</v>
      </c>
      <c r="K107" s="5">
        <v>1335.85</v>
      </c>
      <c r="L107" s="5">
        <v>1263.04</v>
      </c>
      <c r="M107" s="5">
        <f t="shared" si="4"/>
        <v>3860.66</v>
      </c>
    </row>
    <row r="108" spans="1:13" x14ac:dyDescent="0.25">
      <c r="A108" s="4">
        <v>106</v>
      </c>
      <c r="B108" s="4">
        <v>106</v>
      </c>
      <c r="C108" s="4" t="s">
        <v>16</v>
      </c>
      <c r="D108" s="9" t="s">
        <v>225</v>
      </c>
      <c r="E108" s="9" t="s">
        <v>226</v>
      </c>
      <c r="F108" s="6">
        <v>8.3333333333333329E-2</v>
      </c>
      <c r="G108" s="7">
        <v>4171.3999999999996</v>
      </c>
      <c r="H108" s="7">
        <v>4041.3</v>
      </c>
      <c r="I108" s="8">
        <f t="shared" si="3"/>
        <v>130.09999999999945</v>
      </c>
      <c r="J108" s="5">
        <v>1136.57</v>
      </c>
      <c r="K108" s="5">
        <v>1340.23</v>
      </c>
      <c r="L108" s="5">
        <v>1471.1</v>
      </c>
      <c r="M108" s="5">
        <f t="shared" si="4"/>
        <v>3947.9</v>
      </c>
    </row>
    <row r="109" spans="1:13" x14ac:dyDescent="0.25">
      <c r="A109" s="4">
        <v>107</v>
      </c>
      <c r="B109" s="4">
        <v>107</v>
      </c>
      <c r="C109" s="4" t="s">
        <v>16</v>
      </c>
      <c r="D109" s="9" t="s">
        <v>227</v>
      </c>
      <c r="E109" s="9" t="s">
        <v>228</v>
      </c>
      <c r="F109" s="6">
        <v>0.11805555555555557</v>
      </c>
      <c r="G109" s="7">
        <v>3762.4</v>
      </c>
      <c r="H109" s="7">
        <v>3566.59</v>
      </c>
      <c r="I109" s="8">
        <f t="shared" si="3"/>
        <v>195.80999999999995</v>
      </c>
      <c r="J109" s="5">
        <v>1798.07</v>
      </c>
      <c r="K109" s="5">
        <v>0</v>
      </c>
      <c r="L109" s="5">
        <v>1730.69</v>
      </c>
      <c r="M109" s="5">
        <f t="shared" si="4"/>
        <v>3528.76</v>
      </c>
    </row>
    <row r="110" spans="1:13" x14ac:dyDescent="0.25">
      <c r="A110" s="4">
        <v>108</v>
      </c>
      <c r="B110" s="4">
        <v>108</v>
      </c>
      <c r="C110" s="4" t="s">
        <v>13</v>
      </c>
      <c r="D110" s="9" t="s">
        <v>229</v>
      </c>
      <c r="E110" s="9" t="s">
        <v>230</v>
      </c>
      <c r="F110" s="6">
        <v>8.3333333333333329E-2</v>
      </c>
      <c r="G110" s="7">
        <v>3640</v>
      </c>
      <c r="H110" s="7">
        <v>3531.04</v>
      </c>
      <c r="I110" s="8">
        <f t="shared" si="3"/>
        <v>108.96000000000004</v>
      </c>
      <c r="J110" s="5">
        <v>1256.4100000000001</v>
      </c>
      <c r="K110" s="5">
        <v>1194.99</v>
      </c>
      <c r="L110" s="5">
        <v>1069.78</v>
      </c>
      <c r="M110" s="5">
        <f t="shared" si="4"/>
        <v>3521.1800000000003</v>
      </c>
    </row>
    <row r="111" spans="1:13" x14ac:dyDescent="0.25">
      <c r="A111" s="4">
        <v>109</v>
      </c>
      <c r="B111" s="4">
        <v>109</v>
      </c>
      <c r="C111" s="4" t="s">
        <v>16</v>
      </c>
      <c r="D111" s="9" t="s">
        <v>231</v>
      </c>
      <c r="E111" s="9" t="s">
        <v>232</v>
      </c>
      <c r="F111" s="6">
        <v>6.25E-2</v>
      </c>
      <c r="G111" s="7">
        <v>4056.8</v>
      </c>
      <c r="H111" s="7">
        <v>3900.43</v>
      </c>
      <c r="I111" s="8">
        <f t="shared" si="3"/>
        <v>156.37000000000035</v>
      </c>
      <c r="J111" s="5">
        <v>1465.85</v>
      </c>
      <c r="K111" s="5">
        <v>734.26</v>
      </c>
      <c r="L111" s="5">
        <v>1650.76</v>
      </c>
      <c r="M111" s="5">
        <f t="shared" si="4"/>
        <v>3850.87</v>
      </c>
    </row>
    <row r="112" spans="1:13" x14ac:dyDescent="0.25">
      <c r="A112" s="4">
        <v>110</v>
      </c>
      <c r="B112" s="4">
        <v>110</v>
      </c>
      <c r="C112" s="4" t="s">
        <v>16</v>
      </c>
      <c r="D112" s="9" t="s">
        <v>233</v>
      </c>
      <c r="E112" s="9" t="s">
        <v>234</v>
      </c>
      <c r="F112" s="6">
        <v>3.4722222222222224E-2</v>
      </c>
      <c r="G112" s="7">
        <v>4060.4</v>
      </c>
      <c r="H112" s="7">
        <v>3893</v>
      </c>
      <c r="I112" s="8">
        <f t="shared" si="3"/>
        <v>167.40000000000009</v>
      </c>
      <c r="J112" s="5">
        <v>1269.56</v>
      </c>
      <c r="K112" s="5">
        <v>1068.19</v>
      </c>
      <c r="L112" s="5">
        <v>1531.07</v>
      </c>
      <c r="M112" s="5">
        <f t="shared" si="4"/>
        <v>3868.8199999999997</v>
      </c>
    </row>
    <row r="113" spans="1:15" x14ac:dyDescent="0.25">
      <c r="A113" s="4">
        <v>111</v>
      </c>
      <c r="B113" s="4">
        <v>111</v>
      </c>
      <c r="C113" s="4" t="s">
        <v>16</v>
      </c>
      <c r="D113" s="9" t="s">
        <v>235</v>
      </c>
      <c r="E113" s="9" t="s">
        <v>236</v>
      </c>
      <c r="F113" s="6">
        <v>9.0277777777777776E-2</v>
      </c>
      <c r="G113" s="7">
        <v>4060</v>
      </c>
      <c r="H113" s="7">
        <v>3902.7</v>
      </c>
      <c r="I113" s="8">
        <f t="shared" si="3"/>
        <v>157.30000000000018</v>
      </c>
      <c r="J113" s="5">
        <v>1269.19</v>
      </c>
      <c r="K113" s="5">
        <v>1340.29</v>
      </c>
      <c r="L113" s="5">
        <v>1269.42</v>
      </c>
      <c r="M113" s="5">
        <f t="shared" si="4"/>
        <v>3878.9</v>
      </c>
    </row>
    <row r="114" spans="1:15" x14ac:dyDescent="0.25">
      <c r="A114" s="4">
        <v>112</v>
      </c>
      <c r="B114" s="4">
        <v>112</v>
      </c>
      <c r="C114" s="4" t="s">
        <v>16</v>
      </c>
      <c r="D114" s="9" t="s">
        <v>237</v>
      </c>
      <c r="E114" s="9" t="s">
        <v>238</v>
      </c>
      <c r="F114" s="6">
        <v>7.6388888888888895E-2</v>
      </c>
      <c r="G114" s="7">
        <v>3960.4</v>
      </c>
      <c r="H114" s="8">
        <v>3819</v>
      </c>
      <c r="I114" s="8">
        <f t="shared" si="3"/>
        <v>141.40000000000009</v>
      </c>
      <c r="J114" s="5">
        <v>1190.6500000000001</v>
      </c>
      <c r="K114" s="5">
        <v>1329.52</v>
      </c>
      <c r="L114" s="5">
        <v>1259.8499999999999</v>
      </c>
      <c r="M114" s="5">
        <f t="shared" si="4"/>
        <v>3780.02</v>
      </c>
    </row>
    <row r="115" spans="1:15" x14ac:dyDescent="0.25">
      <c r="A115" s="4">
        <v>113</v>
      </c>
      <c r="B115" s="4">
        <v>113</v>
      </c>
      <c r="C115" s="4" t="s">
        <v>16</v>
      </c>
      <c r="D115" s="9" t="s">
        <v>239</v>
      </c>
      <c r="E115" s="9" t="s">
        <v>240</v>
      </c>
      <c r="F115" s="6">
        <v>8.6805555555555566E-2</v>
      </c>
      <c r="G115" s="7">
        <v>4088</v>
      </c>
      <c r="H115" s="8">
        <v>3946</v>
      </c>
      <c r="I115" s="8">
        <f t="shared" si="3"/>
        <v>142</v>
      </c>
      <c r="J115" s="5">
        <v>1319.3</v>
      </c>
      <c r="K115" s="5">
        <v>1388.45</v>
      </c>
      <c r="L115" s="5">
        <v>1248.0899999999999</v>
      </c>
      <c r="M115" s="5">
        <f t="shared" si="4"/>
        <v>3955.84</v>
      </c>
    </row>
    <row r="116" spans="1:15" x14ac:dyDescent="0.25">
      <c r="A116" s="4">
        <v>114</v>
      </c>
      <c r="B116" s="4">
        <v>114</v>
      </c>
      <c r="C116" s="4" t="s">
        <v>13</v>
      </c>
      <c r="D116" s="9" t="s">
        <v>241</v>
      </c>
      <c r="E116" s="9" t="s">
        <v>242</v>
      </c>
      <c r="F116" s="6">
        <v>7.6388888888888895E-2</v>
      </c>
      <c r="G116" s="7">
        <v>3705</v>
      </c>
      <c r="H116" s="7">
        <v>3575.03</v>
      </c>
      <c r="I116" s="8">
        <f t="shared" si="3"/>
        <v>129.9699999999998</v>
      </c>
      <c r="J116" s="5">
        <v>1193.6400000000001</v>
      </c>
      <c r="K116" s="5">
        <v>1258.21</v>
      </c>
      <c r="L116" s="5">
        <v>1132.52</v>
      </c>
      <c r="M116" s="5">
        <f t="shared" si="4"/>
        <v>3584.3700000000003</v>
      </c>
    </row>
    <row r="117" spans="1:15" x14ac:dyDescent="0.25">
      <c r="A117" s="4">
        <v>115</v>
      </c>
      <c r="B117" s="4">
        <v>115</v>
      </c>
      <c r="C117" s="4" t="s">
        <v>16</v>
      </c>
      <c r="D117" s="9" t="s">
        <v>243</v>
      </c>
      <c r="E117" s="9" t="s">
        <v>244</v>
      </c>
      <c r="F117" s="6">
        <v>4.8611111111111112E-2</v>
      </c>
      <c r="G117" s="7">
        <v>3273.6</v>
      </c>
      <c r="H117" s="7">
        <v>3097.89</v>
      </c>
      <c r="I117" s="8">
        <f t="shared" si="3"/>
        <v>175.71000000000004</v>
      </c>
      <c r="J117" s="5">
        <v>928.41</v>
      </c>
      <c r="K117" s="5">
        <v>1062.6500000000001</v>
      </c>
      <c r="L117" s="5">
        <v>1124.3599999999999</v>
      </c>
      <c r="M117" s="5">
        <f t="shared" si="4"/>
        <v>3115.42</v>
      </c>
    </row>
    <row r="118" spans="1:15" x14ac:dyDescent="0.25">
      <c r="A118" s="4">
        <v>116</v>
      </c>
      <c r="B118" s="4">
        <v>116</v>
      </c>
      <c r="C118" s="4" t="s">
        <v>13</v>
      </c>
      <c r="D118" s="9" t="s">
        <v>245</v>
      </c>
      <c r="E118" s="9" t="s">
        <v>246</v>
      </c>
      <c r="F118" s="6">
        <v>3.4722222222222224E-2</v>
      </c>
      <c r="G118" s="7">
        <v>3479.2</v>
      </c>
      <c r="H118" s="7">
        <v>3318.27</v>
      </c>
      <c r="I118" s="8">
        <f t="shared" si="3"/>
        <v>160.92999999999984</v>
      </c>
      <c r="J118" s="5">
        <v>1126.22</v>
      </c>
      <c r="K118" s="5">
        <v>1060.18</v>
      </c>
      <c r="L118" s="5">
        <v>1178.45</v>
      </c>
      <c r="M118" s="5">
        <f t="shared" si="4"/>
        <v>3364.8500000000004</v>
      </c>
    </row>
    <row r="119" spans="1:15" x14ac:dyDescent="0.25">
      <c r="A119" s="4">
        <v>117</v>
      </c>
      <c r="B119" s="4">
        <v>117</v>
      </c>
      <c r="C119" s="4" t="s">
        <v>16</v>
      </c>
      <c r="D119" s="4" t="s">
        <v>247</v>
      </c>
      <c r="E119" s="9" t="s">
        <v>248</v>
      </c>
      <c r="F119" s="6">
        <v>9.375E-2</v>
      </c>
      <c r="G119" s="7">
        <v>3967.9</v>
      </c>
      <c r="H119" s="7">
        <v>3768.88</v>
      </c>
      <c r="I119" s="8">
        <f t="shared" si="3"/>
        <v>199.01999999999998</v>
      </c>
      <c r="J119" s="5">
        <v>1190.52</v>
      </c>
      <c r="K119" s="5">
        <v>1192.8399999999999</v>
      </c>
      <c r="L119" s="5">
        <v>1395.07</v>
      </c>
      <c r="M119" s="5">
        <f t="shared" si="4"/>
        <v>3778.4299999999994</v>
      </c>
    </row>
    <row r="120" spans="1:15" x14ac:dyDescent="0.25">
      <c r="A120" s="4">
        <v>118</v>
      </c>
      <c r="B120" s="4">
        <v>118</v>
      </c>
      <c r="C120" s="4" t="s">
        <v>16</v>
      </c>
      <c r="D120" s="9" t="s">
        <v>249</v>
      </c>
      <c r="E120" s="9" t="s">
        <v>250</v>
      </c>
      <c r="F120" s="6">
        <v>8.3333333333333329E-2</v>
      </c>
      <c r="G120" s="7">
        <v>4100.67</v>
      </c>
      <c r="H120" s="8">
        <v>3947.7</v>
      </c>
      <c r="I120" s="8">
        <f t="shared" si="3"/>
        <v>152.97000000000025</v>
      </c>
      <c r="J120" s="5">
        <v>1232.46</v>
      </c>
      <c r="K120" s="5">
        <v>1231.26</v>
      </c>
      <c r="L120" s="5">
        <v>1295.6400000000001</v>
      </c>
      <c r="M120" s="5">
        <f t="shared" si="4"/>
        <v>3759.3600000000006</v>
      </c>
    </row>
    <row r="121" spans="1:15" x14ac:dyDescent="0.25">
      <c r="A121" s="4">
        <v>119</v>
      </c>
      <c r="B121" s="4">
        <v>119</v>
      </c>
      <c r="C121" s="4" t="s">
        <v>16</v>
      </c>
      <c r="D121" s="9" t="s">
        <v>251</v>
      </c>
      <c r="E121" s="9" t="s">
        <v>252</v>
      </c>
      <c r="F121" s="6">
        <v>8.3333333333333329E-2</v>
      </c>
      <c r="G121" s="7">
        <v>4097</v>
      </c>
      <c r="H121" s="8">
        <v>3890.1</v>
      </c>
      <c r="I121" s="8">
        <f t="shared" si="3"/>
        <v>206.90000000000009</v>
      </c>
      <c r="J121" s="5">
        <v>1325.15</v>
      </c>
      <c r="K121" s="5">
        <v>1319.97</v>
      </c>
      <c r="L121" s="5">
        <v>1258.76</v>
      </c>
      <c r="M121" s="5">
        <f t="shared" si="4"/>
        <v>3903.88</v>
      </c>
      <c r="O121" s="16"/>
    </row>
    <row r="122" spans="1:15" x14ac:dyDescent="0.25">
      <c r="A122" s="4">
        <v>120</v>
      </c>
      <c r="B122" s="4">
        <v>120</v>
      </c>
      <c r="C122" s="4" t="s">
        <v>13</v>
      </c>
      <c r="D122" s="9" t="s">
        <v>253</v>
      </c>
      <c r="E122" s="9" t="s">
        <v>254</v>
      </c>
      <c r="F122" s="6">
        <v>8.3333333333333329E-2</v>
      </c>
      <c r="G122" s="7">
        <v>3693.8</v>
      </c>
      <c r="H122" s="7">
        <v>3590</v>
      </c>
      <c r="I122" s="8">
        <f t="shared" si="3"/>
        <v>103.80000000000018</v>
      </c>
      <c r="J122" s="5">
        <v>1255.21</v>
      </c>
      <c r="K122" s="5">
        <v>1195.04</v>
      </c>
      <c r="L122" s="5">
        <v>1131.45</v>
      </c>
      <c r="M122" s="5">
        <f t="shared" si="4"/>
        <v>3581.7</v>
      </c>
      <c r="O122" s="16"/>
    </row>
    <row r="123" spans="1:15" x14ac:dyDescent="0.25">
      <c r="A123" s="4">
        <v>121</v>
      </c>
      <c r="B123" s="4">
        <v>121</v>
      </c>
      <c r="C123" s="4" t="s">
        <v>13</v>
      </c>
      <c r="D123" s="9" t="s">
        <v>255</v>
      </c>
      <c r="E123" s="9" t="s">
        <v>256</v>
      </c>
      <c r="F123" s="6">
        <v>7.6388888888888895E-2</v>
      </c>
      <c r="G123" s="7">
        <v>3498.8</v>
      </c>
      <c r="H123" s="7">
        <v>3352.9</v>
      </c>
      <c r="I123" s="8">
        <f t="shared" si="3"/>
        <v>145.90000000000009</v>
      </c>
      <c r="J123" s="5">
        <v>1130.5899999999999</v>
      </c>
      <c r="K123" s="5">
        <v>1127.7</v>
      </c>
      <c r="L123" s="5">
        <v>1130.18</v>
      </c>
      <c r="M123" s="5">
        <f t="shared" si="4"/>
        <v>3388.4700000000003</v>
      </c>
      <c r="O123" s="16"/>
    </row>
    <row r="124" spans="1:15" x14ac:dyDescent="0.25">
      <c r="A124" s="4">
        <v>122</v>
      </c>
      <c r="B124" s="4">
        <v>122</v>
      </c>
      <c r="C124" s="4" t="s">
        <v>16</v>
      </c>
      <c r="D124" s="9" t="s">
        <v>257</v>
      </c>
      <c r="E124" s="9" t="s">
        <v>258</v>
      </c>
      <c r="F124" s="6">
        <v>7.6388888888888895E-2</v>
      </c>
      <c r="G124" s="7">
        <v>3962.8</v>
      </c>
      <c r="H124" s="7">
        <v>3745.51</v>
      </c>
      <c r="I124" s="8">
        <f t="shared" si="3"/>
        <v>217.28999999999996</v>
      </c>
      <c r="J124" s="5">
        <v>1255.58</v>
      </c>
      <c r="K124" s="5">
        <v>1132.79</v>
      </c>
      <c r="L124" s="5">
        <v>1387.9</v>
      </c>
      <c r="M124" s="5">
        <f t="shared" si="4"/>
        <v>3776.27</v>
      </c>
      <c r="O124" s="16"/>
    </row>
    <row r="125" spans="1:15" x14ac:dyDescent="0.25">
      <c r="A125" s="4">
        <v>123</v>
      </c>
      <c r="B125" s="4">
        <v>123</v>
      </c>
      <c r="C125" s="4" t="s">
        <v>13</v>
      </c>
      <c r="D125" s="4" t="s">
        <v>259</v>
      </c>
      <c r="E125" s="4" t="s">
        <v>260</v>
      </c>
      <c r="F125" s="6">
        <v>8.3333333333333329E-2</v>
      </c>
      <c r="G125" s="7">
        <v>3632.8</v>
      </c>
      <c r="H125" s="7">
        <v>3571.1</v>
      </c>
      <c r="I125" s="8">
        <f t="shared" si="3"/>
        <v>61.700000000000273</v>
      </c>
      <c r="J125" s="5">
        <v>1255.19</v>
      </c>
      <c r="K125" s="5">
        <v>1135.67</v>
      </c>
      <c r="L125" s="5">
        <v>1129.3800000000001</v>
      </c>
      <c r="M125" s="5">
        <f t="shared" si="4"/>
        <v>3520.2400000000002</v>
      </c>
      <c r="O125" s="16"/>
    </row>
    <row r="126" spans="1:15" x14ac:dyDescent="0.25">
      <c r="A126" s="4">
        <v>124</v>
      </c>
      <c r="B126" s="4">
        <v>124</v>
      </c>
      <c r="C126" s="4" t="s">
        <v>13</v>
      </c>
      <c r="D126" s="4" t="s">
        <v>261</v>
      </c>
      <c r="E126" s="4" t="s">
        <v>262</v>
      </c>
      <c r="F126" s="6">
        <v>8.3333333333333329E-2</v>
      </c>
      <c r="G126" s="7">
        <v>3761.6</v>
      </c>
      <c r="H126" s="7">
        <v>3661</v>
      </c>
      <c r="I126" s="8">
        <f t="shared" si="3"/>
        <v>100.59999999999991</v>
      </c>
      <c r="J126" s="5">
        <v>1130.21</v>
      </c>
      <c r="K126" s="5">
        <v>1260.97</v>
      </c>
      <c r="L126" s="5">
        <v>1256.9000000000001</v>
      </c>
      <c r="M126" s="5">
        <f t="shared" si="4"/>
        <v>3648.0800000000004</v>
      </c>
      <c r="O126" s="13"/>
    </row>
    <row r="127" spans="1:15" x14ac:dyDescent="0.25">
      <c r="A127" s="4">
        <v>125</v>
      </c>
      <c r="B127" s="4">
        <v>125</v>
      </c>
      <c r="C127" s="4" t="s">
        <v>16</v>
      </c>
      <c r="D127" s="4" t="s">
        <v>263</v>
      </c>
      <c r="E127" s="4" t="s">
        <v>264</v>
      </c>
      <c r="F127" s="6">
        <v>8.3333333333333329E-2</v>
      </c>
      <c r="G127" s="7">
        <v>4036.1</v>
      </c>
      <c r="H127" s="7">
        <v>3833.78</v>
      </c>
      <c r="I127" s="8">
        <f t="shared" si="3"/>
        <v>202.31999999999971</v>
      </c>
      <c r="J127" s="5">
        <v>1257.82</v>
      </c>
      <c r="K127" s="5">
        <v>1323.17</v>
      </c>
      <c r="L127" s="5">
        <v>1263.8</v>
      </c>
      <c r="M127" s="5">
        <f t="shared" si="4"/>
        <v>3844.79</v>
      </c>
      <c r="O127" s="13"/>
    </row>
    <row r="128" spans="1:15" x14ac:dyDescent="0.25">
      <c r="A128" s="4">
        <v>126</v>
      </c>
      <c r="B128" s="4">
        <v>126</v>
      </c>
      <c r="C128" s="4" t="s">
        <v>13</v>
      </c>
      <c r="D128" s="4" t="s">
        <v>265</v>
      </c>
      <c r="E128" s="4" t="s">
        <v>266</v>
      </c>
      <c r="F128" s="6">
        <v>8.3333333333333329E-2</v>
      </c>
      <c r="G128" s="7">
        <v>3637.2</v>
      </c>
      <c r="H128" s="7">
        <v>3464.65</v>
      </c>
      <c r="I128" s="8">
        <f t="shared" si="3"/>
        <v>172.54999999999973</v>
      </c>
      <c r="J128" s="5">
        <v>1193.3399999999999</v>
      </c>
      <c r="K128" s="5">
        <v>1193.4100000000001</v>
      </c>
      <c r="L128" s="5">
        <v>1130.0899999999999</v>
      </c>
      <c r="M128" s="5">
        <f t="shared" si="4"/>
        <v>3516.84</v>
      </c>
      <c r="O128" s="13"/>
    </row>
    <row r="129" spans="1:15" x14ac:dyDescent="0.25">
      <c r="A129" s="4">
        <v>127</v>
      </c>
      <c r="B129" s="4">
        <v>127</v>
      </c>
      <c r="C129" s="4" t="s">
        <v>16</v>
      </c>
      <c r="D129" s="4" t="s">
        <v>267</v>
      </c>
      <c r="E129" s="4" t="s">
        <v>268</v>
      </c>
      <c r="F129" s="6">
        <v>3.4722222222222224E-2</v>
      </c>
      <c r="G129" s="7">
        <v>4060</v>
      </c>
      <c r="H129" s="7">
        <v>3920.4</v>
      </c>
      <c r="I129" s="8">
        <f t="shared" si="3"/>
        <v>139.59999999999991</v>
      </c>
      <c r="J129" s="5">
        <v>1469.93</v>
      </c>
      <c r="K129" s="5">
        <v>1201.6400000000001</v>
      </c>
      <c r="L129" s="5">
        <v>1200.22</v>
      </c>
      <c r="M129" s="5">
        <f t="shared" si="4"/>
        <v>3871.79</v>
      </c>
      <c r="O129" s="13"/>
    </row>
    <row r="130" spans="1:15" x14ac:dyDescent="0.25">
      <c r="A130" s="4">
        <v>128</v>
      </c>
      <c r="B130" s="4">
        <v>128</v>
      </c>
      <c r="C130" s="4" t="s">
        <v>16</v>
      </c>
      <c r="D130" s="4" t="s">
        <v>269</v>
      </c>
      <c r="E130" s="4" t="s">
        <v>270</v>
      </c>
      <c r="F130" s="6">
        <v>0.125</v>
      </c>
      <c r="G130" s="7">
        <v>4044.7</v>
      </c>
      <c r="H130" s="7">
        <v>3876.54</v>
      </c>
      <c r="I130" s="8">
        <f t="shared" si="3"/>
        <v>168.15999999999985</v>
      </c>
      <c r="J130" s="5">
        <v>1260.58</v>
      </c>
      <c r="K130" s="5">
        <v>1261.3</v>
      </c>
      <c r="L130" s="5">
        <v>1326.48</v>
      </c>
      <c r="M130" s="5">
        <f t="shared" si="4"/>
        <v>3848.36</v>
      </c>
      <c r="O130" s="13"/>
    </row>
    <row r="131" spans="1:15" x14ac:dyDescent="0.25">
      <c r="A131" s="4">
        <v>129</v>
      </c>
      <c r="B131" s="4">
        <v>129</v>
      </c>
      <c r="C131" s="4" t="s">
        <v>16</v>
      </c>
      <c r="D131" s="4" t="s">
        <v>271</v>
      </c>
      <c r="E131" s="4" t="s">
        <v>272</v>
      </c>
      <c r="F131" s="6">
        <v>9.0277777777777776E-2</v>
      </c>
      <c r="G131" s="7">
        <v>4023</v>
      </c>
      <c r="H131" s="7">
        <v>3770.99</v>
      </c>
      <c r="I131" s="8">
        <f t="shared" si="3"/>
        <v>252.01000000000022</v>
      </c>
      <c r="J131" s="5">
        <v>1321.8</v>
      </c>
      <c r="K131" s="5">
        <v>1322.69</v>
      </c>
      <c r="L131" s="5">
        <v>1247.6500000000001</v>
      </c>
      <c r="M131" s="5">
        <f t="shared" si="4"/>
        <v>3892.14</v>
      </c>
      <c r="O131" s="13"/>
    </row>
    <row r="132" spans="1:15" x14ac:dyDescent="0.25">
      <c r="A132" s="4">
        <v>130</v>
      </c>
      <c r="B132" s="4">
        <v>130</v>
      </c>
      <c r="C132" s="4" t="s">
        <v>13</v>
      </c>
      <c r="D132" s="4" t="s">
        <v>273</v>
      </c>
      <c r="E132" s="4" t="s">
        <v>274</v>
      </c>
      <c r="F132" s="6">
        <v>9.0277777777777776E-2</v>
      </c>
      <c r="G132" s="7">
        <v>3753.2</v>
      </c>
      <c r="H132" s="7">
        <v>3653.2</v>
      </c>
      <c r="I132" s="8">
        <f t="shared" ref="I132:I167" si="5">G132-H132</f>
        <v>100</v>
      </c>
      <c r="J132" s="5">
        <v>1257.98</v>
      </c>
      <c r="K132" s="5">
        <v>1131.44</v>
      </c>
      <c r="L132" s="5">
        <v>1318.75</v>
      </c>
      <c r="M132" s="5">
        <f t="shared" si="4"/>
        <v>3708.17</v>
      </c>
      <c r="O132" s="13"/>
    </row>
    <row r="133" spans="1:15" x14ac:dyDescent="0.25">
      <c r="A133" s="4">
        <v>131</v>
      </c>
      <c r="B133" s="4">
        <v>131</v>
      </c>
      <c r="C133" s="4" t="s">
        <v>13</v>
      </c>
      <c r="D133" s="4" t="s">
        <v>275</v>
      </c>
      <c r="E133" s="4" t="s">
        <v>276</v>
      </c>
      <c r="F133" s="6">
        <v>7.6388888888888895E-2</v>
      </c>
      <c r="G133" s="7">
        <v>3764.4</v>
      </c>
      <c r="H133" s="7">
        <v>3575.44</v>
      </c>
      <c r="I133" s="8">
        <f t="shared" si="5"/>
        <v>188.96000000000004</v>
      </c>
      <c r="J133" s="5">
        <v>1195.21</v>
      </c>
      <c r="K133" s="5">
        <v>1132.51</v>
      </c>
      <c r="L133" s="5">
        <v>1314.13</v>
      </c>
      <c r="M133" s="5">
        <f t="shared" si="4"/>
        <v>3641.8500000000004</v>
      </c>
      <c r="O133" s="13"/>
    </row>
    <row r="134" spans="1:15" x14ac:dyDescent="0.25">
      <c r="A134" s="4">
        <v>132</v>
      </c>
      <c r="B134" s="4">
        <v>132</v>
      </c>
      <c r="C134" s="4" t="s">
        <v>16</v>
      </c>
      <c r="D134" s="4" t="s">
        <v>277</v>
      </c>
      <c r="E134" s="4" t="s">
        <v>278</v>
      </c>
      <c r="F134" s="6">
        <v>8.3333333333333329E-2</v>
      </c>
      <c r="G134" s="7">
        <v>3964.4</v>
      </c>
      <c r="H134" s="7">
        <v>3823</v>
      </c>
      <c r="I134" s="8">
        <f t="shared" si="5"/>
        <v>141.40000000000009</v>
      </c>
      <c r="J134" s="5">
        <v>1261.1500000000001</v>
      </c>
      <c r="K134" s="5">
        <v>1266.6300000000001</v>
      </c>
      <c r="L134" s="5">
        <v>1249.45</v>
      </c>
      <c r="M134" s="5">
        <f t="shared" si="4"/>
        <v>3777.2300000000005</v>
      </c>
      <c r="O134" s="13"/>
    </row>
    <row r="135" spans="1:15" x14ac:dyDescent="0.25">
      <c r="A135" s="4">
        <v>133</v>
      </c>
      <c r="B135" s="4">
        <v>133</v>
      </c>
      <c r="C135" s="4" t="s">
        <v>16</v>
      </c>
      <c r="D135" s="4" t="s">
        <v>279</v>
      </c>
      <c r="E135" s="4" t="s">
        <v>280</v>
      </c>
      <c r="F135" s="6">
        <v>4.8611111111111112E-2</v>
      </c>
      <c r="G135" s="7">
        <v>3990.1</v>
      </c>
      <c r="H135" s="7">
        <v>3796.59</v>
      </c>
      <c r="I135" s="8">
        <f t="shared" si="5"/>
        <v>193.50999999999976</v>
      </c>
      <c r="J135" s="5">
        <v>1670.88</v>
      </c>
      <c r="K135" s="5">
        <v>736.17</v>
      </c>
      <c r="L135" s="5">
        <v>1401.79</v>
      </c>
      <c r="M135" s="5">
        <f t="shared" si="4"/>
        <v>3808.84</v>
      </c>
      <c r="O135" s="13"/>
    </row>
    <row r="136" spans="1:15" x14ac:dyDescent="0.25">
      <c r="A136" s="4">
        <v>134</v>
      </c>
      <c r="B136" s="4">
        <v>134</v>
      </c>
      <c r="C136" s="4" t="s">
        <v>13</v>
      </c>
      <c r="D136" s="4" t="s">
        <v>281</v>
      </c>
      <c r="E136" s="4" t="s">
        <v>282</v>
      </c>
      <c r="F136" s="6">
        <v>9.375E-2</v>
      </c>
      <c r="G136" s="7">
        <v>3770</v>
      </c>
      <c r="H136" s="7">
        <v>3670</v>
      </c>
      <c r="I136" s="8">
        <f t="shared" si="5"/>
        <v>100</v>
      </c>
      <c r="J136" s="5">
        <v>1256.68</v>
      </c>
      <c r="K136" s="5">
        <v>1258.3399999999999</v>
      </c>
      <c r="L136" s="5">
        <v>1130.6500000000001</v>
      </c>
      <c r="M136" s="5">
        <f t="shared" si="4"/>
        <v>3645.67</v>
      </c>
      <c r="O136" s="13"/>
    </row>
    <row r="137" spans="1:15" x14ac:dyDescent="0.25">
      <c r="A137" s="4">
        <v>135</v>
      </c>
      <c r="B137" s="4">
        <v>135</v>
      </c>
      <c r="C137" s="4" t="s">
        <v>16</v>
      </c>
      <c r="D137" s="4" t="s">
        <v>283</v>
      </c>
      <c r="E137" s="4" t="s">
        <v>284</v>
      </c>
      <c r="F137" s="6">
        <v>9.375E-2</v>
      </c>
      <c r="G137" s="7">
        <v>4171.3</v>
      </c>
      <c r="H137" s="7">
        <v>4026.05</v>
      </c>
      <c r="I137" s="8">
        <f t="shared" si="5"/>
        <v>145.25</v>
      </c>
      <c r="J137" s="5">
        <v>1316.86</v>
      </c>
      <c r="K137" s="5">
        <v>1249.77</v>
      </c>
      <c r="L137" s="5">
        <v>1291.3900000000001</v>
      </c>
      <c r="M137" s="5">
        <f t="shared" si="4"/>
        <v>3858.0200000000004</v>
      </c>
      <c r="O137" s="13"/>
    </row>
    <row r="138" spans="1:15" x14ac:dyDescent="0.25">
      <c r="A138" s="4">
        <v>136</v>
      </c>
      <c r="B138" s="12">
        <v>136</v>
      </c>
      <c r="C138" s="4" t="s">
        <v>13</v>
      </c>
      <c r="D138" s="4" t="s">
        <v>285</v>
      </c>
      <c r="E138" s="4" t="s">
        <v>286</v>
      </c>
      <c r="F138" s="6">
        <v>7.6388888888888895E-2</v>
      </c>
      <c r="G138" s="7">
        <v>3696.6</v>
      </c>
      <c r="H138" s="7">
        <v>3564.07</v>
      </c>
      <c r="I138" s="8">
        <f t="shared" si="5"/>
        <v>132.52999999999975</v>
      </c>
      <c r="J138" s="5">
        <v>1258.53</v>
      </c>
      <c r="K138" s="5">
        <v>1064</v>
      </c>
      <c r="L138" s="5">
        <v>1190</v>
      </c>
      <c r="M138" s="5">
        <f t="shared" si="4"/>
        <v>3512.5299999999997</v>
      </c>
      <c r="O138" s="13"/>
    </row>
    <row r="139" spans="1:15" x14ac:dyDescent="0.25">
      <c r="A139" s="4">
        <v>137</v>
      </c>
      <c r="B139" s="4">
        <v>137</v>
      </c>
      <c r="C139" s="4" t="s">
        <v>16</v>
      </c>
      <c r="D139" s="4" t="s">
        <v>287</v>
      </c>
      <c r="E139" s="4" t="s">
        <v>288</v>
      </c>
      <c r="F139" s="6">
        <v>8.3333333333333329E-2</v>
      </c>
      <c r="G139" s="7">
        <v>4042.8</v>
      </c>
      <c r="H139" s="7">
        <v>3823</v>
      </c>
      <c r="I139" s="8">
        <f t="shared" si="5"/>
        <v>219.80000000000018</v>
      </c>
      <c r="J139" s="5">
        <v>1264.3</v>
      </c>
      <c r="K139" s="5">
        <v>1195.5</v>
      </c>
      <c r="L139" s="5">
        <v>1387.66</v>
      </c>
      <c r="M139" s="5">
        <f t="shared" si="4"/>
        <v>3847.46</v>
      </c>
      <c r="O139" s="13"/>
    </row>
    <row r="140" spans="1:15" x14ac:dyDescent="0.25">
      <c r="A140" s="4">
        <v>138</v>
      </c>
      <c r="B140" s="12">
        <v>138</v>
      </c>
      <c r="C140" s="4" t="s">
        <v>16</v>
      </c>
      <c r="D140" s="4" t="s">
        <v>289</v>
      </c>
      <c r="E140" s="4" t="s">
        <v>290</v>
      </c>
      <c r="F140" s="6">
        <v>6.9444444444444434E-2</v>
      </c>
      <c r="G140" s="7">
        <v>4060</v>
      </c>
      <c r="H140" s="7">
        <v>4025.4</v>
      </c>
      <c r="I140" s="8">
        <f t="shared" si="5"/>
        <v>34.599999999999909</v>
      </c>
      <c r="J140" s="5">
        <v>1269.8499999999999</v>
      </c>
      <c r="K140" s="5">
        <v>1268.8800000000001</v>
      </c>
      <c r="L140" s="5">
        <v>1338.41</v>
      </c>
      <c r="M140" s="5">
        <f t="shared" si="4"/>
        <v>3877.1400000000003</v>
      </c>
      <c r="O140" s="13"/>
    </row>
    <row r="141" spans="1:15" x14ac:dyDescent="0.25">
      <c r="A141" s="4">
        <v>139</v>
      </c>
      <c r="B141" s="4">
        <v>139</v>
      </c>
      <c r="C141" s="4" t="s">
        <v>13</v>
      </c>
      <c r="D141" s="4" t="s">
        <v>291</v>
      </c>
      <c r="E141" s="4" t="s">
        <v>292</v>
      </c>
      <c r="F141" s="6">
        <v>3.4722222222222224E-2</v>
      </c>
      <c r="G141" s="7">
        <v>3507.2</v>
      </c>
      <c r="H141" s="7">
        <v>3515.17</v>
      </c>
      <c r="I141" s="8">
        <f t="shared" si="5"/>
        <v>-7.9700000000002547</v>
      </c>
      <c r="J141" s="5">
        <v>1128.3599999999999</v>
      </c>
      <c r="K141" s="5">
        <v>1068.47</v>
      </c>
      <c r="L141" s="5">
        <v>1196.3900000000001</v>
      </c>
      <c r="M141" s="5">
        <f t="shared" si="4"/>
        <v>3393.2200000000003</v>
      </c>
      <c r="O141" s="13"/>
    </row>
    <row r="142" spans="1:15" x14ac:dyDescent="0.25">
      <c r="A142" s="4">
        <v>140</v>
      </c>
      <c r="B142" s="4">
        <v>140</v>
      </c>
      <c r="C142" s="4" t="s">
        <v>16</v>
      </c>
      <c r="D142" s="9" t="s">
        <v>293</v>
      </c>
      <c r="E142" s="4" t="s">
        <v>294</v>
      </c>
      <c r="F142" s="6">
        <v>9.0277777777777776E-2</v>
      </c>
      <c r="G142" s="7">
        <v>4125.3999999999996</v>
      </c>
      <c r="H142" s="7">
        <v>4049.54</v>
      </c>
      <c r="I142" s="8">
        <f t="shared" si="5"/>
        <v>75.859999999999673</v>
      </c>
      <c r="J142" s="5">
        <v>1336.04</v>
      </c>
      <c r="K142" s="5">
        <v>1265.01</v>
      </c>
      <c r="L142" s="5">
        <v>1338.22</v>
      </c>
      <c r="M142" s="5">
        <f t="shared" si="4"/>
        <v>3939.2700000000004</v>
      </c>
      <c r="O142" s="13"/>
    </row>
    <row r="143" spans="1:15" x14ac:dyDescent="0.25">
      <c r="A143" s="4">
        <v>141</v>
      </c>
      <c r="B143" s="4">
        <v>141</v>
      </c>
      <c r="C143" s="4" t="s">
        <v>16</v>
      </c>
      <c r="D143" s="4" t="s">
        <v>295</v>
      </c>
      <c r="E143" s="4" t="s">
        <v>296</v>
      </c>
      <c r="F143" s="6">
        <v>9.0277777777777776E-2</v>
      </c>
      <c r="G143" s="7">
        <v>3990</v>
      </c>
      <c r="H143" s="7">
        <v>3848.5</v>
      </c>
      <c r="I143" s="8">
        <f t="shared" si="5"/>
        <v>141.5</v>
      </c>
      <c r="J143" s="5">
        <v>1301.5899999999999</v>
      </c>
      <c r="K143" s="5">
        <v>1273.2</v>
      </c>
      <c r="L143" s="5">
        <v>1172.32</v>
      </c>
      <c r="M143" s="5">
        <f t="shared" si="4"/>
        <v>3747.1099999999997</v>
      </c>
      <c r="O143" s="13"/>
    </row>
    <row r="144" spans="1:15" x14ac:dyDescent="0.25">
      <c r="A144" s="4">
        <v>142</v>
      </c>
      <c r="B144" s="4">
        <v>142</v>
      </c>
      <c r="C144" s="4" t="s">
        <v>16</v>
      </c>
      <c r="D144" s="4" t="s">
        <v>297</v>
      </c>
      <c r="E144" s="4" t="s">
        <v>298</v>
      </c>
      <c r="F144" s="6">
        <v>7.9861111111111105E-2</v>
      </c>
      <c r="G144" s="7">
        <v>4031.9</v>
      </c>
      <c r="H144" s="7">
        <v>3838.65</v>
      </c>
      <c r="I144" s="8">
        <f t="shared" si="5"/>
        <v>193.25</v>
      </c>
      <c r="J144" s="5">
        <v>1233.8499999999999</v>
      </c>
      <c r="K144" s="5">
        <v>1157.6400000000001</v>
      </c>
      <c r="L144" s="5">
        <v>1355.47</v>
      </c>
      <c r="M144" s="5">
        <f t="shared" ref="M144:M167" si="6">J144+K144+L144</f>
        <v>3746.96</v>
      </c>
      <c r="O144" s="13"/>
    </row>
    <row r="145" spans="1:15" x14ac:dyDescent="0.25">
      <c r="A145" s="4">
        <v>143</v>
      </c>
      <c r="B145" s="4">
        <v>143</v>
      </c>
      <c r="C145" s="4" t="s">
        <v>13</v>
      </c>
      <c r="D145" s="4" t="s">
        <v>299</v>
      </c>
      <c r="E145" s="4" t="s">
        <v>300</v>
      </c>
      <c r="F145" s="6">
        <v>8.3333333333333329E-2</v>
      </c>
      <c r="G145" s="7">
        <v>3823.8</v>
      </c>
      <c r="H145" s="7">
        <v>3695.65</v>
      </c>
      <c r="I145" s="8">
        <f t="shared" si="5"/>
        <v>128.15000000000009</v>
      </c>
      <c r="J145" s="5">
        <v>1220.82</v>
      </c>
      <c r="K145" s="5">
        <v>1158.8900000000001</v>
      </c>
      <c r="L145" s="5">
        <v>1221.08</v>
      </c>
      <c r="M145" s="5">
        <f t="shared" si="6"/>
        <v>3600.79</v>
      </c>
      <c r="O145" s="13"/>
    </row>
    <row r="146" spans="1:15" x14ac:dyDescent="0.25">
      <c r="A146" s="4">
        <v>144</v>
      </c>
      <c r="B146" s="4">
        <v>144</v>
      </c>
      <c r="C146" s="4" t="s">
        <v>16</v>
      </c>
      <c r="D146" s="4" t="s">
        <v>301</v>
      </c>
      <c r="E146" s="4" t="s">
        <v>302</v>
      </c>
      <c r="F146" s="6">
        <v>5.2083333333333336E-2</v>
      </c>
      <c r="G146" s="7">
        <v>4024.3</v>
      </c>
      <c r="H146" s="7">
        <v>3882.98</v>
      </c>
      <c r="I146" s="8">
        <f t="shared" si="5"/>
        <v>141.32000000000016</v>
      </c>
      <c r="J146" s="5">
        <v>1099.81</v>
      </c>
      <c r="K146" s="5">
        <v>1346.39</v>
      </c>
      <c r="L146" s="5">
        <v>1292.92</v>
      </c>
      <c r="M146" s="5">
        <f t="shared" si="6"/>
        <v>3739.12</v>
      </c>
      <c r="O146" s="13"/>
    </row>
    <row r="147" spans="1:15" x14ac:dyDescent="0.25">
      <c r="A147" s="4">
        <v>145</v>
      </c>
      <c r="B147" s="4">
        <v>145</v>
      </c>
      <c r="C147" s="4" t="s">
        <v>16</v>
      </c>
      <c r="D147" s="4" t="s">
        <v>303</v>
      </c>
      <c r="E147" s="4" t="s">
        <v>304</v>
      </c>
      <c r="F147" s="6">
        <v>7.9861111111111105E-2</v>
      </c>
      <c r="G147" s="7">
        <v>3920</v>
      </c>
      <c r="H147" s="7">
        <v>3762.6</v>
      </c>
      <c r="I147" s="8">
        <f t="shared" si="5"/>
        <v>157.40000000000009</v>
      </c>
      <c r="J147" s="5">
        <v>1236.47</v>
      </c>
      <c r="K147" s="5">
        <v>1170.93</v>
      </c>
      <c r="L147" s="5">
        <v>1235.1099999999999</v>
      </c>
      <c r="M147" s="5">
        <f t="shared" si="6"/>
        <v>3642.51</v>
      </c>
      <c r="O147" s="13"/>
    </row>
    <row r="148" spans="1:15" x14ac:dyDescent="0.25">
      <c r="A148" s="4">
        <v>146</v>
      </c>
      <c r="B148" s="4">
        <v>146</v>
      </c>
      <c r="C148" s="4" t="s">
        <v>13</v>
      </c>
      <c r="D148" s="4" t="s">
        <v>305</v>
      </c>
      <c r="E148" s="4" t="s">
        <v>306</v>
      </c>
      <c r="F148" s="6">
        <v>8.3333333333333329E-2</v>
      </c>
      <c r="G148" s="7">
        <v>3693.8</v>
      </c>
      <c r="H148" s="7">
        <v>3603.8</v>
      </c>
      <c r="I148" s="8">
        <f t="shared" si="5"/>
        <v>90</v>
      </c>
      <c r="J148" s="5">
        <v>1096.6400000000001</v>
      </c>
      <c r="K148" s="5">
        <v>1036.4100000000001</v>
      </c>
      <c r="L148" s="5">
        <v>1344.11</v>
      </c>
      <c r="M148" s="5">
        <f t="shared" si="6"/>
        <v>3477.16</v>
      </c>
      <c r="O148" s="13"/>
    </row>
    <row r="149" spans="1:15" x14ac:dyDescent="0.25">
      <c r="A149" s="4">
        <v>147</v>
      </c>
      <c r="B149" s="4">
        <v>147</v>
      </c>
      <c r="C149" s="4" t="s">
        <v>16</v>
      </c>
      <c r="D149" s="4" t="s">
        <v>307</v>
      </c>
      <c r="E149" s="4" t="s">
        <v>308</v>
      </c>
      <c r="F149" s="6">
        <v>8.3333333333333329E-2</v>
      </c>
      <c r="G149" s="7">
        <v>3990</v>
      </c>
      <c r="H149" s="7">
        <v>3868</v>
      </c>
      <c r="I149" s="8">
        <f t="shared" si="5"/>
        <v>122</v>
      </c>
      <c r="J149" s="5">
        <v>1303.1400000000001</v>
      </c>
      <c r="K149" s="5">
        <v>1105.81</v>
      </c>
      <c r="L149" s="5">
        <v>1302.4000000000001</v>
      </c>
      <c r="M149" s="5">
        <f t="shared" si="6"/>
        <v>3711.35</v>
      </c>
      <c r="O149" s="13"/>
    </row>
    <row r="150" spans="1:15" x14ac:dyDescent="0.25">
      <c r="A150" s="4">
        <v>148</v>
      </c>
      <c r="B150" s="4">
        <v>148</v>
      </c>
      <c r="C150" s="4" t="s">
        <v>16</v>
      </c>
      <c r="D150" s="4" t="s">
        <v>309</v>
      </c>
      <c r="E150" s="4" t="s">
        <v>310</v>
      </c>
      <c r="F150" s="6">
        <v>6.25E-2</v>
      </c>
      <c r="G150" s="7">
        <v>4087</v>
      </c>
      <c r="H150" s="7">
        <v>3987</v>
      </c>
      <c r="I150" s="8">
        <f t="shared" si="5"/>
        <v>100</v>
      </c>
      <c r="J150" s="5">
        <v>1162</v>
      </c>
      <c r="K150" s="5">
        <v>1349.11</v>
      </c>
      <c r="L150" s="5">
        <v>1228.55</v>
      </c>
      <c r="M150" s="5">
        <f t="shared" si="6"/>
        <v>3739.66</v>
      </c>
      <c r="O150" s="13"/>
    </row>
    <row r="151" spans="1:15" x14ac:dyDescent="0.25">
      <c r="A151" s="4">
        <v>149</v>
      </c>
      <c r="B151" s="4">
        <v>149</v>
      </c>
      <c r="C151" s="4" t="s">
        <v>16</v>
      </c>
      <c r="D151" s="4" t="s">
        <v>311</v>
      </c>
      <c r="E151" s="4" t="s">
        <v>312</v>
      </c>
      <c r="F151" s="6">
        <v>3.4722222222222224E-2</v>
      </c>
      <c r="G151" s="7">
        <v>4029.9</v>
      </c>
      <c r="H151" s="7">
        <v>3836.15</v>
      </c>
      <c r="I151" s="8">
        <f t="shared" si="5"/>
        <v>193.75</v>
      </c>
      <c r="J151" s="5">
        <v>1236.8599999999999</v>
      </c>
      <c r="K151" s="5">
        <v>1366.67</v>
      </c>
      <c r="L151" s="5">
        <v>1106.1300000000001</v>
      </c>
      <c r="M151" s="5">
        <f t="shared" si="6"/>
        <v>3709.66</v>
      </c>
      <c r="O151" s="13"/>
    </row>
    <row r="152" spans="1:15" x14ac:dyDescent="0.25">
      <c r="A152" s="4">
        <v>150</v>
      </c>
      <c r="B152" s="4">
        <v>150</v>
      </c>
      <c r="C152" s="4" t="s">
        <v>16</v>
      </c>
      <c r="D152" s="4" t="s">
        <v>313</v>
      </c>
      <c r="E152" s="4" t="s">
        <v>314</v>
      </c>
      <c r="F152" s="6">
        <v>8.3333333333333329E-2</v>
      </c>
      <c r="G152" s="7">
        <v>4038.7</v>
      </c>
      <c r="H152" s="7">
        <v>3852.87</v>
      </c>
      <c r="I152" s="8">
        <f t="shared" si="5"/>
        <v>185.82999999999993</v>
      </c>
      <c r="J152" s="5">
        <v>1295.8599999999999</v>
      </c>
      <c r="K152" s="5">
        <v>1162.28</v>
      </c>
      <c r="L152" s="5">
        <v>1294.33</v>
      </c>
      <c r="M152" s="5">
        <f t="shared" si="6"/>
        <v>3752.47</v>
      </c>
      <c r="O152" s="13"/>
    </row>
    <row r="153" spans="1:15" x14ac:dyDescent="0.25">
      <c r="A153" s="4">
        <v>151</v>
      </c>
      <c r="B153" s="4">
        <v>151</v>
      </c>
      <c r="C153" s="4" t="s">
        <v>13</v>
      </c>
      <c r="D153" s="4" t="s">
        <v>315</v>
      </c>
      <c r="E153" s="4" t="s">
        <v>316</v>
      </c>
      <c r="F153" s="6">
        <v>7.6388888888888895E-2</v>
      </c>
      <c r="G153" s="7">
        <v>3552.6</v>
      </c>
      <c r="H153" s="7">
        <v>3455.4</v>
      </c>
      <c r="I153" s="8">
        <f t="shared" si="5"/>
        <v>97.199999999999818</v>
      </c>
      <c r="J153" s="5">
        <v>1025.56</v>
      </c>
      <c r="K153" s="5">
        <v>1158.94</v>
      </c>
      <c r="L153" s="5">
        <v>1098.1400000000001</v>
      </c>
      <c r="M153" s="5">
        <f t="shared" si="6"/>
        <v>3282.6400000000003</v>
      </c>
      <c r="O153" s="13"/>
    </row>
    <row r="154" spans="1:15" x14ac:dyDescent="0.25">
      <c r="A154" s="4">
        <v>152</v>
      </c>
      <c r="B154" s="4">
        <v>152</v>
      </c>
      <c r="C154" s="4" t="s">
        <v>16</v>
      </c>
      <c r="D154" s="4" t="s">
        <v>317</v>
      </c>
      <c r="E154" s="4" t="s">
        <v>318</v>
      </c>
      <c r="F154" s="6">
        <v>7.9861111111111105E-2</v>
      </c>
      <c r="G154" s="7">
        <v>3782.8</v>
      </c>
      <c r="H154" s="7">
        <v>3639.4</v>
      </c>
      <c r="I154" s="8">
        <f t="shared" si="5"/>
        <v>143.40000000000009</v>
      </c>
      <c r="J154" s="5">
        <v>1215.7</v>
      </c>
      <c r="K154" s="5">
        <v>1153</v>
      </c>
      <c r="L154" s="5">
        <v>1141.3</v>
      </c>
      <c r="M154" s="5">
        <f t="shared" si="6"/>
        <v>3510</v>
      </c>
      <c r="O154" s="13"/>
    </row>
    <row r="155" spans="1:15" x14ac:dyDescent="0.25">
      <c r="A155" s="4">
        <v>153</v>
      </c>
      <c r="B155" s="4">
        <v>153</v>
      </c>
      <c r="C155" s="4" t="s">
        <v>16</v>
      </c>
      <c r="D155" s="4" t="s">
        <v>319</v>
      </c>
      <c r="E155" s="4" t="s">
        <v>320</v>
      </c>
      <c r="F155" s="6">
        <v>8.3333333333333329E-2</v>
      </c>
      <c r="G155" s="7">
        <v>4108.2</v>
      </c>
      <c r="H155" s="7">
        <v>3942.7</v>
      </c>
      <c r="I155" s="8">
        <f t="shared" si="5"/>
        <v>165.5</v>
      </c>
      <c r="J155" s="5">
        <v>1226.3699999999999</v>
      </c>
      <c r="K155" s="5">
        <v>1300.75</v>
      </c>
      <c r="L155" s="5">
        <v>1289.6099999999999</v>
      </c>
      <c r="M155" s="5">
        <f t="shared" si="6"/>
        <v>3816.7299999999996</v>
      </c>
      <c r="O155" s="13"/>
    </row>
    <row r="156" spans="1:15" x14ac:dyDescent="0.25">
      <c r="A156" s="4">
        <v>154</v>
      </c>
      <c r="B156" s="4">
        <v>154</v>
      </c>
      <c r="C156" s="4" t="s">
        <v>13</v>
      </c>
      <c r="D156" s="4" t="s">
        <v>321</v>
      </c>
      <c r="E156" s="4" t="s">
        <v>322</v>
      </c>
      <c r="F156" s="6">
        <v>8.3333333333333329E-2</v>
      </c>
      <c r="G156" s="7">
        <v>3758.8</v>
      </c>
      <c r="H156" s="7">
        <v>3610.86</v>
      </c>
      <c r="I156" s="8">
        <f t="shared" si="5"/>
        <v>147.94000000000005</v>
      </c>
      <c r="J156" s="5">
        <v>1163.04</v>
      </c>
      <c r="K156" s="5">
        <v>1098.93</v>
      </c>
      <c r="L156" s="5">
        <v>1283.54</v>
      </c>
      <c r="M156" s="5">
        <f t="shared" si="6"/>
        <v>3545.51</v>
      </c>
      <c r="O156" s="13"/>
    </row>
    <row r="157" spans="1:15" x14ac:dyDescent="0.25">
      <c r="A157" s="4">
        <v>155</v>
      </c>
      <c r="B157" s="4">
        <v>155</v>
      </c>
      <c r="C157" s="4" t="s">
        <v>13</v>
      </c>
      <c r="D157" s="4" t="s">
        <v>323</v>
      </c>
      <c r="E157" s="4" t="s">
        <v>324</v>
      </c>
      <c r="F157" s="6">
        <v>7.9861111111111105E-2</v>
      </c>
      <c r="G157" s="7">
        <v>3620.4</v>
      </c>
      <c r="H157" s="7">
        <v>3522.51</v>
      </c>
      <c r="I157" s="8">
        <f t="shared" si="5"/>
        <v>97.889999999999873</v>
      </c>
      <c r="J157" s="5">
        <v>1098.29</v>
      </c>
      <c r="K157" s="5">
        <v>1221.06</v>
      </c>
      <c r="L157" s="5">
        <v>1098.97</v>
      </c>
      <c r="M157" s="5">
        <f t="shared" si="6"/>
        <v>3418.3199999999997</v>
      </c>
      <c r="O157" s="13"/>
    </row>
    <row r="158" spans="1:15" x14ac:dyDescent="0.25">
      <c r="A158" s="4">
        <v>156</v>
      </c>
      <c r="B158" s="4">
        <v>156</v>
      </c>
      <c r="C158" s="4" t="s">
        <v>16</v>
      </c>
      <c r="D158" s="4" t="s">
        <v>325</v>
      </c>
      <c r="E158" s="4" t="s">
        <v>326</v>
      </c>
      <c r="F158" s="6">
        <v>9.7222222222222224E-2</v>
      </c>
      <c r="G158" s="7">
        <v>3953.8</v>
      </c>
      <c r="H158" s="7">
        <v>3802.12</v>
      </c>
      <c r="I158" s="8">
        <f t="shared" si="5"/>
        <v>151.68000000000029</v>
      </c>
      <c r="J158" s="5">
        <v>1353.98</v>
      </c>
      <c r="K158" s="5">
        <v>971.6</v>
      </c>
      <c r="L158" s="5">
        <v>1347.28</v>
      </c>
      <c r="M158" s="5">
        <f t="shared" si="6"/>
        <v>3672.8599999999997</v>
      </c>
      <c r="O158" s="13"/>
    </row>
    <row r="159" spans="1:15" x14ac:dyDescent="0.25">
      <c r="A159" s="4">
        <v>157</v>
      </c>
      <c r="B159" s="4">
        <v>157</v>
      </c>
      <c r="C159" s="4" t="s">
        <v>13</v>
      </c>
      <c r="D159" s="4" t="s">
        <v>327</v>
      </c>
      <c r="E159" s="4" t="s">
        <v>328</v>
      </c>
      <c r="F159" s="6">
        <v>8.3333333333333329E-2</v>
      </c>
      <c r="G159" s="7">
        <v>3498.8</v>
      </c>
      <c r="H159" s="7">
        <v>3373.9</v>
      </c>
      <c r="I159" s="8">
        <f t="shared" si="5"/>
        <v>124.90000000000009</v>
      </c>
      <c r="J159" s="5">
        <v>1157.95</v>
      </c>
      <c r="K159" s="5">
        <v>974.17</v>
      </c>
      <c r="L159" s="5">
        <v>1152.69</v>
      </c>
      <c r="M159" s="5">
        <f t="shared" si="6"/>
        <v>3284.81</v>
      </c>
      <c r="O159" s="13"/>
    </row>
    <row r="160" spans="1:15" x14ac:dyDescent="0.25">
      <c r="A160" s="4">
        <v>158</v>
      </c>
      <c r="B160" s="4">
        <v>158</v>
      </c>
      <c r="C160" s="4" t="s">
        <v>16</v>
      </c>
      <c r="D160" s="4" t="s">
        <v>329</v>
      </c>
      <c r="E160" s="4" t="s">
        <v>330</v>
      </c>
      <c r="F160" s="6">
        <v>7.6388888888888895E-2</v>
      </c>
      <c r="G160" s="7">
        <v>4076.3</v>
      </c>
      <c r="H160" s="7">
        <v>3903.96</v>
      </c>
      <c r="I160" s="8">
        <f t="shared" si="5"/>
        <v>172.34000000000015</v>
      </c>
      <c r="J160" s="5">
        <v>1224.98</v>
      </c>
      <c r="K160" s="5">
        <v>1156.1500000000001</v>
      </c>
      <c r="L160" s="5">
        <v>1408.27</v>
      </c>
      <c r="M160" s="5">
        <f t="shared" si="6"/>
        <v>3789.4</v>
      </c>
      <c r="O160" s="13"/>
    </row>
    <row r="161" spans="1:15" x14ac:dyDescent="0.25">
      <c r="A161" s="4">
        <v>159</v>
      </c>
      <c r="B161" s="4">
        <v>159</v>
      </c>
      <c r="C161" s="4" t="s">
        <v>13</v>
      </c>
      <c r="D161" s="4" t="s">
        <v>331</v>
      </c>
      <c r="E161" s="4" t="s">
        <v>332</v>
      </c>
      <c r="F161" s="6">
        <v>4.8611111111111112E-2</v>
      </c>
      <c r="G161" s="7">
        <v>3628.8</v>
      </c>
      <c r="H161" s="7">
        <v>3482.08</v>
      </c>
      <c r="I161" s="8">
        <f t="shared" si="5"/>
        <v>146.72000000000025</v>
      </c>
      <c r="J161" s="5">
        <v>1100.4000000000001</v>
      </c>
      <c r="K161" s="5">
        <v>1215.7</v>
      </c>
      <c r="L161" s="5">
        <v>1099.32</v>
      </c>
      <c r="M161" s="5">
        <f t="shared" si="6"/>
        <v>3415.42</v>
      </c>
      <c r="O161" s="13"/>
    </row>
    <row r="162" spans="1:15" x14ac:dyDescent="0.25">
      <c r="A162" s="4">
        <v>160</v>
      </c>
      <c r="B162" s="4">
        <v>160</v>
      </c>
      <c r="C162" s="4" t="s">
        <v>13</v>
      </c>
      <c r="D162" s="4" t="s">
        <v>333</v>
      </c>
      <c r="E162" s="4" t="s">
        <v>334</v>
      </c>
      <c r="F162" s="6">
        <v>3.4722222222222224E-2</v>
      </c>
      <c r="G162" s="7">
        <v>3628.8</v>
      </c>
      <c r="H162" s="7">
        <v>3504.08</v>
      </c>
      <c r="I162" s="8">
        <f t="shared" si="5"/>
        <v>124.72000000000025</v>
      </c>
      <c r="J162" s="5">
        <v>1098.3</v>
      </c>
      <c r="K162" s="5">
        <v>1156.8599999999999</v>
      </c>
      <c r="L162" s="5">
        <v>1160.78</v>
      </c>
      <c r="M162" s="5">
        <f t="shared" si="6"/>
        <v>3415.9399999999996</v>
      </c>
      <c r="O162" s="13"/>
    </row>
    <row r="163" spans="1:15" x14ac:dyDescent="0.25">
      <c r="A163" s="4">
        <v>161</v>
      </c>
      <c r="B163" s="4">
        <v>161</v>
      </c>
      <c r="C163" s="4" t="s">
        <v>16</v>
      </c>
      <c r="D163" s="4" t="s">
        <v>335</v>
      </c>
      <c r="E163" s="4" t="s">
        <v>336</v>
      </c>
      <c r="F163" s="6">
        <v>8.3333333333333329E-2</v>
      </c>
      <c r="G163" s="7">
        <v>4113</v>
      </c>
      <c r="H163" s="7">
        <v>3809.05</v>
      </c>
      <c r="I163" s="8">
        <f t="shared" si="5"/>
        <v>303.94999999999982</v>
      </c>
      <c r="J163" s="5">
        <v>1301.42</v>
      </c>
      <c r="K163" s="5">
        <v>1167.24</v>
      </c>
      <c r="L163" s="5">
        <v>1356.27</v>
      </c>
      <c r="M163" s="5">
        <f t="shared" si="6"/>
        <v>3824.93</v>
      </c>
      <c r="O163" s="13"/>
    </row>
    <row r="164" spans="1:15" x14ac:dyDescent="0.25">
      <c r="A164" s="4">
        <v>162</v>
      </c>
      <c r="B164" s="4">
        <v>162</v>
      </c>
      <c r="C164" s="4" t="s">
        <v>16</v>
      </c>
      <c r="D164" s="4" t="s">
        <v>337</v>
      </c>
      <c r="E164" s="4" t="s">
        <v>338</v>
      </c>
      <c r="F164" s="6">
        <v>8.3333333333333329E-2</v>
      </c>
      <c r="G164" s="7">
        <v>4171.3999999999996</v>
      </c>
      <c r="H164" s="7">
        <v>3982.45</v>
      </c>
      <c r="I164" s="8">
        <f t="shared" si="5"/>
        <v>188.94999999999982</v>
      </c>
      <c r="J164" s="5">
        <v>1236.3499999999999</v>
      </c>
      <c r="K164" s="5">
        <v>1369.57</v>
      </c>
      <c r="L164" s="5">
        <v>1237.27</v>
      </c>
      <c r="M164" s="5">
        <f t="shared" si="6"/>
        <v>3843.19</v>
      </c>
      <c r="O164" s="13"/>
    </row>
    <row r="165" spans="1:15" x14ac:dyDescent="0.25">
      <c r="A165" s="4">
        <v>163</v>
      </c>
      <c r="B165" s="4">
        <v>163</v>
      </c>
      <c r="C165" s="4" t="s">
        <v>16</v>
      </c>
      <c r="D165" s="4" t="s">
        <v>339</v>
      </c>
      <c r="E165" s="4" t="s">
        <v>340</v>
      </c>
      <c r="F165" s="6">
        <v>6.9444444444444434E-2</v>
      </c>
      <c r="G165" s="7">
        <v>3905.1</v>
      </c>
      <c r="H165" s="7">
        <v>3735.01</v>
      </c>
      <c r="I165" s="8">
        <f t="shared" si="5"/>
        <v>170.08999999999969</v>
      </c>
      <c r="J165" s="5">
        <v>1166.5</v>
      </c>
      <c r="K165" s="5">
        <v>1291.95</v>
      </c>
      <c r="L165" s="5">
        <v>1171.26</v>
      </c>
      <c r="M165" s="5">
        <f t="shared" si="6"/>
        <v>3629.71</v>
      </c>
      <c r="O165" s="13"/>
    </row>
    <row r="166" spans="1:15" x14ac:dyDescent="0.25">
      <c r="A166" s="4">
        <v>164</v>
      </c>
      <c r="B166" s="4">
        <v>164</v>
      </c>
      <c r="C166" s="4" t="s">
        <v>13</v>
      </c>
      <c r="D166" s="4" t="s">
        <v>341</v>
      </c>
      <c r="E166" s="4" t="s">
        <v>342</v>
      </c>
      <c r="F166" s="6">
        <v>6.25E-2</v>
      </c>
      <c r="G166" s="7">
        <v>3433.8</v>
      </c>
      <c r="H166" s="7">
        <v>3303.91</v>
      </c>
      <c r="I166" s="8">
        <f t="shared" si="5"/>
        <v>129.89000000000033</v>
      </c>
      <c r="J166" s="5">
        <v>1098.53</v>
      </c>
      <c r="K166" s="5">
        <v>1038.74</v>
      </c>
      <c r="L166" s="5">
        <v>1098.04</v>
      </c>
      <c r="M166" s="5">
        <f t="shared" si="6"/>
        <v>3235.31</v>
      </c>
    </row>
    <row r="167" spans="1:15" x14ac:dyDescent="0.25">
      <c r="A167" s="4">
        <v>165</v>
      </c>
      <c r="B167" s="4">
        <v>165</v>
      </c>
      <c r="C167" s="4" t="s">
        <v>13</v>
      </c>
      <c r="D167" s="4" t="s">
        <v>343</v>
      </c>
      <c r="E167" s="4" t="s">
        <v>344</v>
      </c>
      <c r="F167" s="6">
        <v>4.1666666666666664E-2</v>
      </c>
      <c r="G167" s="7">
        <v>3569.4</v>
      </c>
      <c r="H167" s="7">
        <v>3483.67</v>
      </c>
      <c r="I167" s="8">
        <f t="shared" si="5"/>
        <v>85.730000000000018</v>
      </c>
      <c r="J167" s="5">
        <v>1097.99</v>
      </c>
      <c r="K167" s="5">
        <v>1097.78</v>
      </c>
      <c r="L167" s="5">
        <v>1159.6099999999999</v>
      </c>
      <c r="M167" s="5">
        <f t="shared" si="6"/>
        <v>3355.38</v>
      </c>
    </row>
    <row r="168" spans="1:15" ht="15.75" x14ac:dyDescent="0.25">
      <c r="J168" s="15">
        <f>SUM(J3:J167)</f>
        <v>197210.48999999993</v>
      </c>
      <c r="K168" s="15">
        <f>SUM(K3:K167)</f>
        <v>198769.50000000017</v>
      </c>
      <c r="L168" s="15">
        <f>SUM(L3:L167)</f>
        <v>208099.08</v>
      </c>
      <c r="M168" s="14">
        <f>SUM(M3:M167)</f>
        <v>604079.07000000007</v>
      </c>
    </row>
  </sheetData>
  <mergeCells count="1">
    <mergeCell ref="A1:M1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BGR</dc:creator>
  <cp:lastModifiedBy>BGR</cp:lastModifiedBy>
  <dcterms:created xsi:type="dcterms:W3CDTF">2015-06-05T18:17:20Z</dcterms:created>
  <dcterms:modified xsi:type="dcterms:W3CDTF">2025-12-20T22:39:26Z</dcterms:modified>
</cp:coreProperties>
</file>